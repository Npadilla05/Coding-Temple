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okipadilla/Coding Temple/"/>
    </mc:Choice>
  </mc:AlternateContent>
  <xr:revisionPtr revIDLastSave="0" documentId="13_ncr:1_{BA4743B6-561E-9F41-BAD5-C8293D44D42F}" xr6:coauthVersionLast="47" xr6:coauthVersionMax="47" xr10:uidLastSave="{00000000-0000-0000-0000-000000000000}"/>
  <bookViews>
    <workbookView xWindow="0" yWindow="1520" windowWidth="25600" windowHeight="13960" xr2:uid="{00000000-000D-0000-FFFF-FFFF00000000}"/>
  </bookViews>
  <sheets>
    <sheet name="Finished_sheet" sheetId="4" r:id="rId1"/>
    <sheet name="Travel details dataset" sheetId="1" r:id="rId2"/>
  </sheets>
  <calcPr calcId="191029"/>
  <pivotCaches>
    <pivotCache cacheId="5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1" i="1" l="1"/>
  <c r="N66" i="1"/>
  <c r="N137" i="1"/>
  <c r="N86" i="1"/>
  <c r="N100" i="1"/>
  <c r="N109" i="1"/>
  <c r="N78" i="1"/>
  <c r="N98" i="1"/>
  <c r="N115" i="1"/>
  <c r="N111" i="1"/>
  <c r="N95" i="1"/>
  <c r="N106" i="1"/>
  <c r="N26" i="1"/>
  <c r="N6" i="1"/>
  <c r="N91" i="1"/>
  <c r="N46" i="1"/>
  <c r="N58" i="1"/>
  <c r="N73" i="1"/>
  <c r="N102" i="1"/>
  <c r="N13" i="1"/>
  <c r="N28" i="1"/>
  <c r="N53" i="1"/>
  <c r="I106" i="1"/>
  <c r="I98" i="1"/>
  <c r="I108" i="1"/>
  <c r="I113" i="1" s="1"/>
  <c r="O81" i="1"/>
  <c r="O88" i="1"/>
  <c r="O74" i="1"/>
  <c r="O85" i="1"/>
  <c r="O93" i="1"/>
  <c r="O77" i="1"/>
  <c r="O92" i="1"/>
  <c r="O80" i="1"/>
  <c r="O89" i="1"/>
  <c r="O75" i="1"/>
  <c r="O84" i="1"/>
  <c r="O87" i="1"/>
  <c r="O79" i="1"/>
  <c r="O76" i="1"/>
  <c r="O78" i="1"/>
  <c r="O86" i="1"/>
  <c r="O73" i="1"/>
  <c r="O82" i="1"/>
  <c r="O90" i="1"/>
  <c r="O94" i="1"/>
  <c r="O91" i="1"/>
  <c r="N67" i="1"/>
  <c r="N52" i="1"/>
  <c r="N22" i="1"/>
  <c r="N88" i="1"/>
  <c r="N47" i="1"/>
  <c r="N62" i="1"/>
  <c r="N40" i="1"/>
  <c r="N18" i="1"/>
  <c r="N43" i="1"/>
  <c r="N34" i="1"/>
  <c r="N122" i="1"/>
  <c r="N128" i="1"/>
  <c r="N126" i="1"/>
  <c r="N37" i="1"/>
  <c r="N69" i="1"/>
  <c r="N133" i="1"/>
  <c r="N2" i="1"/>
  <c r="N7" i="1"/>
  <c r="N29" i="1"/>
  <c r="N117" i="1"/>
  <c r="N81" i="1"/>
  <c r="I109" i="1" l="1"/>
  <c r="I100" i="1"/>
  <c r="I102" i="1"/>
  <c r="I107" i="1" l="1"/>
  <c r="I59" i="1"/>
  <c r="I104" i="1"/>
  <c r="I73" i="1"/>
  <c r="I101" i="1" s="1"/>
  <c r="I53" i="1"/>
  <c r="I95" i="1" s="1"/>
  <c r="I97" i="1"/>
  <c r="B35" i="1" l="1"/>
  <c r="B135" i="1"/>
  <c r="B20" i="1" l="1"/>
  <c r="B11" i="1"/>
  <c r="B60" i="1"/>
  <c r="B96" i="1" l="1"/>
  <c r="B129" i="1" s="1"/>
  <c r="B24" i="1"/>
  <c r="B63" i="1"/>
  <c r="B131" i="1"/>
  <c r="B100" i="1"/>
  <c r="B36" i="1" s="1"/>
  <c r="B33" i="1"/>
  <c r="B85" i="1"/>
  <c r="B120" i="1" l="1"/>
  <c r="B9" i="1" s="1"/>
  <c r="B54" i="1" s="1"/>
  <c r="B89" i="1" s="1"/>
  <c r="B132" i="1"/>
  <c r="B69" i="1"/>
  <c r="B40" i="1"/>
  <c r="B22" i="1"/>
  <c r="B108" i="1"/>
  <c r="B51" i="1"/>
  <c r="B75" i="1"/>
  <c r="B74" i="1" s="1"/>
  <c r="B118" i="1"/>
  <c r="B43" i="1"/>
  <c r="B50" i="1"/>
  <c r="B12" i="1"/>
  <c r="B105" i="1"/>
  <c r="B99" i="1"/>
  <c r="B16" i="1"/>
  <c r="B42" i="1" l="1"/>
  <c r="B29" i="1"/>
  <c r="B28" i="1"/>
  <c r="B98" i="1"/>
  <c r="B126" i="1"/>
  <c r="B26" i="1"/>
  <c r="B31" i="1"/>
  <c r="B66" i="1"/>
  <c r="B19" i="1"/>
</calcChain>
</file>

<file path=xl/sharedStrings.xml><?xml version="1.0" encoding="utf-8"?>
<sst xmlns="http://schemas.openxmlformats.org/spreadsheetml/2006/main" count="950" uniqueCount="224">
  <si>
    <t>Trip ID</t>
  </si>
  <si>
    <t>Destination</t>
  </si>
  <si>
    <t>Start date</t>
  </si>
  <si>
    <t>End date</t>
  </si>
  <si>
    <t>Duration (days)</t>
  </si>
  <si>
    <t>Traveler name</t>
  </si>
  <si>
    <t>Traveler age</t>
  </si>
  <si>
    <t>Traveler gender</t>
  </si>
  <si>
    <t>Traveler nationality</t>
  </si>
  <si>
    <t>Accommodation type</t>
  </si>
  <si>
    <t>Accommodation cost</t>
  </si>
  <si>
    <t>Transportation type</t>
  </si>
  <si>
    <t>Transportation cost</t>
  </si>
  <si>
    <t>John Smith</t>
  </si>
  <si>
    <t>Male</t>
  </si>
  <si>
    <t>American</t>
  </si>
  <si>
    <t>Hotel</t>
  </si>
  <si>
    <t>Jane Doe</t>
  </si>
  <si>
    <t>Female</t>
  </si>
  <si>
    <t>Canadian</t>
  </si>
  <si>
    <t>Resort</t>
  </si>
  <si>
    <t>David Lee</t>
  </si>
  <si>
    <t>Korean</t>
  </si>
  <si>
    <t>Villa</t>
  </si>
  <si>
    <t>Sarah Johnson</t>
  </si>
  <si>
    <t>British</t>
  </si>
  <si>
    <t>Kim Nguyen</t>
  </si>
  <si>
    <t>Vietnamese</t>
  </si>
  <si>
    <t>Airbnb</t>
  </si>
  <si>
    <t>Train</t>
  </si>
  <si>
    <t>Michael Brown</t>
  </si>
  <si>
    <t>Emily Davis</t>
  </si>
  <si>
    <t>Australian</t>
  </si>
  <si>
    <t>Hostel</t>
  </si>
  <si>
    <t>Lucas Santos</t>
  </si>
  <si>
    <t>Brazilian</t>
  </si>
  <si>
    <t>Laura Janssen</t>
  </si>
  <si>
    <t>Dutch</t>
  </si>
  <si>
    <t>Mohammed Ali</t>
  </si>
  <si>
    <t>Emirati</t>
  </si>
  <si>
    <t>Ana Hernandez</t>
  </si>
  <si>
    <t>Mexican</t>
  </si>
  <si>
    <t>Carlos Garcia</t>
  </si>
  <si>
    <t>Spanish</t>
  </si>
  <si>
    <t>Lily Wong</t>
  </si>
  <si>
    <t>Chinese</t>
  </si>
  <si>
    <t>Hans Mueller</t>
  </si>
  <si>
    <t>German</t>
  </si>
  <si>
    <t>Fatima Khouri</t>
  </si>
  <si>
    <t>Moroccan</t>
  </si>
  <si>
    <t>Riad</t>
  </si>
  <si>
    <t>James MacKenzie</t>
  </si>
  <si>
    <t>Scottish</t>
  </si>
  <si>
    <t>Michael Chang</t>
  </si>
  <si>
    <t>Olivia Rodriguez</t>
  </si>
  <si>
    <t>Kenji Nakamura</t>
  </si>
  <si>
    <t>Japanese</t>
  </si>
  <si>
    <t>Emily Lee</t>
  </si>
  <si>
    <t>Bus</t>
  </si>
  <si>
    <t>James Wilson</t>
  </si>
  <si>
    <t>Sofia Russo</t>
  </si>
  <si>
    <t>Italian</t>
  </si>
  <si>
    <t>Raj Patel</t>
  </si>
  <si>
    <t>Indian</t>
  </si>
  <si>
    <t>Lily Nguyen</t>
  </si>
  <si>
    <t>David Kim</t>
  </si>
  <si>
    <t>Maria Garcia</t>
  </si>
  <si>
    <t>Japan</t>
  </si>
  <si>
    <t>Alice Smith</t>
  </si>
  <si>
    <t>Thailand</t>
  </si>
  <si>
    <t>Bob Johnson</t>
  </si>
  <si>
    <t>France</t>
  </si>
  <si>
    <t>Charlie Lee</t>
  </si>
  <si>
    <t>Car rental</t>
  </si>
  <si>
    <t>Australia</t>
  </si>
  <si>
    <t>Emma Davis</t>
  </si>
  <si>
    <t>Brazil</t>
  </si>
  <si>
    <t>Olivia Martin</t>
  </si>
  <si>
    <t>Greece</t>
  </si>
  <si>
    <t>Harry Wilson</t>
  </si>
  <si>
    <t>Egypt</t>
  </si>
  <si>
    <t>Sophia Lee</t>
  </si>
  <si>
    <t>Mexico</t>
  </si>
  <si>
    <t>James Brown</t>
  </si>
  <si>
    <t>Italy</t>
  </si>
  <si>
    <t>Mia Johnson</t>
  </si>
  <si>
    <t>Spain</t>
  </si>
  <si>
    <t>William Davis</t>
  </si>
  <si>
    <t>Canada</t>
  </si>
  <si>
    <t>Amelia Brown</t>
  </si>
  <si>
    <t>Adam Lee</t>
  </si>
  <si>
    <t>Sarah Wong</t>
  </si>
  <si>
    <t>Maria Silva</t>
  </si>
  <si>
    <t>Peter Brown</t>
  </si>
  <si>
    <t>Emma Garcia</t>
  </si>
  <si>
    <t>Michael Davis</t>
  </si>
  <si>
    <t>Nina Patel</t>
  </si>
  <si>
    <t>Kevin Kim</t>
  </si>
  <si>
    <t>Laura van den Berg</t>
  </si>
  <si>
    <t>Jennifer Nguyen</t>
  </si>
  <si>
    <t>Rachel Lee</t>
  </si>
  <si>
    <t>Jessica Wong</t>
  </si>
  <si>
    <t>Felipe Almeida</t>
  </si>
  <si>
    <t>Nisa Patel</t>
  </si>
  <si>
    <t>Ben Smith</t>
  </si>
  <si>
    <t>Laura Gomez</t>
  </si>
  <si>
    <t>Park Min Woo</t>
  </si>
  <si>
    <t>Subway</t>
  </si>
  <si>
    <t>Michael Chen</t>
  </si>
  <si>
    <t>Sofia Rossi</t>
  </si>
  <si>
    <t>Rachel Sanders</t>
  </si>
  <si>
    <t>Emily Watson</t>
  </si>
  <si>
    <t>Vacation rental</t>
  </si>
  <si>
    <t>Ana Rodriguez</t>
  </si>
  <si>
    <t>Tom Wilson</t>
  </si>
  <si>
    <t>Olivia Green</t>
  </si>
  <si>
    <t>French</t>
  </si>
  <si>
    <t>James Chen</t>
  </si>
  <si>
    <t>Lila Patel</t>
  </si>
  <si>
    <t>Marco Rossi</t>
  </si>
  <si>
    <t>Sarah Brown</t>
  </si>
  <si>
    <t>Sarah Lee</t>
  </si>
  <si>
    <t>500 USD</t>
  </si>
  <si>
    <t>800 USD</t>
  </si>
  <si>
    <t>Alex Kim</t>
  </si>
  <si>
    <t>1000 USD</t>
  </si>
  <si>
    <t>200 USD</t>
  </si>
  <si>
    <t>Maria Hernandez</t>
  </si>
  <si>
    <t>1200 USD</t>
  </si>
  <si>
    <t>700 USD</t>
  </si>
  <si>
    <t>Mark Johnson</t>
  </si>
  <si>
    <t>South African</t>
  </si>
  <si>
    <t>Guesthouse</t>
  </si>
  <si>
    <t>400 USD</t>
  </si>
  <si>
    <t>Car</t>
  </si>
  <si>
    <t>300 USD</t>
  </si>
  <si>
    <t>Amanda Chen</t>
  </si>
  <si>
    <t>Taiwanese</t>
  </si>
  <si>
    <t>600 USD</t>
  </si>
  <si>
    <t>900 USD</t>
  </si>
  <si>
    <t>Nana Kwon</t>
  </si>
  <si>
    <t>Tom Hanks</t>
  </si>
  <si>
    <t>1500 USD</t>
  </si>
  <si>
    <t>Emma Watson</t>
  </si>
  <si>
    <t>James Kim</t>
  </si>
  <si>
    <t>Fatima Ahmed</t>
  </si>
  <si>
    <t>Liam Nguyen</t>
  </si>
  <si>
    <t>100 USD</t>
  </si>
  <si>
    <t>Giulia Rossi</t>
  </si>
  <si>
    <t>350 USD</t>
  </si>
  <si>
    <t>Putra Wijaya</t>
  </si>
  <si>
    <t>Indonesian</t>
  </si>
  <si>
    <t>Kim Min-ji</t>
  </si>
  <si>
    <t>150 USD</t>
  </si>
  <si>
    <t>USA</t>
  </si>
  <si>
    <t>Emily Johnson</t>
  </si>
  <si>
    <t>South Korea</t>
  </si>
  <si>
    <t>UK</t>
  </si>
  <si>
    <t>Michael Wong</t>
  </si>
  <si>
    <t>Jessica Chen</t>
  </si>
  <si>
    <t>Ken Tanaka</t>
  </si>
  <si>
    <t>Rodrigo Oliveira</t>
  </si>
  <si>
    <t>Olivia Kim</t>
  </si>
  <si>
    <t>Robert Mueller</t>
  </si>
  <si>
    <t>Germany</t>
  </si>
  <si>
    <t>Lisa Chen</t>
  </si>
  <si>
    <t>Emily Wong</t>
  </si>
  <si>
    <t>United Kingdom</t>
  </si>
  <si>
    <t>Mark Tan</t>
  </si>
  <si>
    <t>Singapore</t>
  </si>
  <si>
    <t>Emma Lee</t>
  </si>
  <si>
    <t>George Chen</t>
  </si>
  <si>
    <t>Ferry</t>
  </si>
  <si>
    <t>Sophia Kim</t>
  </si>
  <si>
    <t>United Arab Emirates</t>
  </si>
  <si>
    <t>Alex Ng</t>
  </si>
  <si>
    <t>Cambodia</t>
  </si>
  <si>
    <t>Cindy Chen</t>
  </si>
  <si>
    <t>Emily Kim</t>
  </si>
  <si>
    <t>Frank Li</t>
  </si>
  <si>
    <t>Gina Lee</t>
  </si>
  <si>
    <t>Henry Kim</t>
  </si>
  <si>
    <t>Isabella Chen</t>
  </si>
  <si>
    <t>Jack Smith</t>
  </si>
  <si>
    <t>Katie Johnson</t>
  </si>
  <si>
    <t>John Doe</t>
  </si>
  <si>
    <t>Airplane</t>
  </si>
  <si>
    <t>Jane Smith</t>
  </si>
  <si>
    <t>Michael Johnson</t>
  </si>
  <si>
    <t>Jose Perez</t>
  </si>
  <si>
    <t>Emma Wilson</t>
  </si>
  <si>
    <t>Ryan Chen</t>
  </si>
  <si>
    <t>Sofia Rodriguez</t>
  </si>
  <si>
    <t>William Brown</t>
  </si>
  <si>
    <t>New Zealander</t>
  </si>
  <si>
    <t>Accomodation cost(updated)</t>
  </si>
  <si>
    <t>Transportation cost(updated)</t>
  </si>
  <si>
    <t>Netherlands</t>
  </si>
  <si>
    <t>New Zealand</t>
  </si>
  <si>
    <t>Indonesia</t>
  </si>
  <si>
    <t>South Africa</t>
  </si>
  <si>
    <t>Scotland</t>
  </si>
  <si>
    <t>Morocco</t>
  </si>
  <si>
    <t>Greek</t>
  </si>
  <si>
    <t>-</t>
  </si>
  <si>
    <t>Row Labels</t>
  </si>
  <si>
    <t>Grand Total</t>
  </si>
  <si>
    <t>Average of Accomodation cost(updated)</t>
  </si>
  <si>
    <t>Average of Transportation cost(updated)</t>
  </si>
  <si>
    <t>Count of Destination</t>
  </si>
  <si>
    <t>Jun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</si>
  <si>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</si>
  <si>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</si>
  <si>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</si>
  <si>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</si>
  <si>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</si>
  <si>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</si>
  <si>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</si>
  <si>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</si>
  <si>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</si>
  <si>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May</t>
  </si>
  <si>
    <t>Dec</t>
  </si>
  <si>
    <t>Column Labels</t>
  </si>
  <si>
    <t>Count of Transportation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</si>
</sst>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44" fontId="0" fillId="0" borderId="0" xfId="1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[Week1TravelData.xlsm]Finished_sheet!PivotTable3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Cost</a:t>
            </a:r>
            <a:r>
              <a:rPr lang="en-US" baseline="0"/>
              <a:t> of Travel for Each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Finished_sheet!$B$1</c:f>
              <c:strCache>
                <c:ptCount val="1"/>
                <c:pt idx="0">
                  <c:v>Average of Accomodation cost(updated)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Finished_sheet!$A$2:$A$25</c:f>
              <c:strCache>
                <c:ptCount val="23"/>
                <c:pt idx="0">
                  <c:v>Australia</c:v>
                </c:pt>
                <c:pt idx="1">
                  <c:v>Brazil</c:v>
                </c:pt>
                <c:pt idx="2">
                  <c:v>Cambodia</c:v>
                </c:pt>
                <c:pt idx="3">
                  <c:v>Canada</c:v>
                </c:pt>
                <c:pt idx="4">
                  <c:v>Egypt</c:v>
                </c:pt>
                <c:pt idx="5">
                  <c:v>France</c:v>
                </c:pt>
                <c:pt idx="6">
                  <c:v>Germany</c:v>
                </c:pt>
                <c:pt idx="7">
                  <c:v>Greece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Morocco</c:v>
                </c:pt>
                <c:pt idx="13">
                  <c:v>Netherlands</c:v>
                </c:pt>
                <c:pt idx="14">
                  <c:v>New Zealand</c:v>
                </c:pt>
                <c:pt idx="15">
                  <c:v>Scotland</c:v>
                </c:pt>
                <c:pt idx="16">
                  <c:v>South Africa</c:v>
                </c:pt>
                <c:pt idx="17">
                  <c:v>South Korea</c:v>
                </c:pt>
                <c:pt idx="18">
                  <c:v>Spain</c:v>
                </c:pt>
                <c:pt idx="19">
                  <c:v>Thailand</c:v>
                </c:pt>
                <c:pt idx="20">
                  <c:v>UK</c:v>
                </c:pt>
                <c:pt idx="21">
                  <c:v>United Arab Emirates</c:v>
                </c:pt>
                <c:pt idx="22">
                  <c:v>USA</c:v>
                </c:pt>
              </c:strCache>
            </c:strRef>
          </c:cat>
          <c:val>
            <c:numRef>
              <c:f>Finished_sheet!$B$2:$B$25</c:f>
              <c:numCache>
                <c:formatCode>General</c:formatCode>
                <c:ptCount val="23"/>
                <c:pt idx="0">
                  <c:v>1700</c:v>
                </c:pt>
                <c:pt idx="1">
                  <c:v>900</c:v>
                </c:pt>
                <c:pt idx="2">
                  <c:v>200</c:v>
                </c:pt>
                <c:pt idx="3">
                  <c:v>466.66666666666669</c:v>
                </c:pt>
                <c:pt idx="4">
                  <c:v>800</c:v>
                </c:pt>
                <c:pt idx="5">
                  <c:v>922.35294117647061</c:v>
                </c:pt>
                <c:pt idx="6">
                  <c:v>525</c:v>
                </c:pt>
                <c:pt idx="7">
                  <c:v>2766.6666666666665</c:v>
                </c:pt>
                <c:pt idx="8">
                  <c:v>300</c:v>
                </c:pt>
                <c:pt idx="9">
                  <c:v>1380</c:v>
                </c:pt>
                <c:pt idx="10">
                  <c:v>1883.3333333333333</c:v>
                </c:pt>
                <c:pt idx="11">
                  <c:v>1100</c:v>
                </c:pt>
                <c:pt idx="12">
                  <c:v>1000</c:v>
                </c:pt>
                <c:pt idx="13">
                  <c:v>1055.5555555555557</c:v>
                </c:pt>
                <c:pt idx="14">
                  <c:v>1200</c:v>
                </c:pt>
                <c:pt idx="15">
                  <c:v>400</c:v>
                </c:pt>
                <c:pt idx="16">
                  <c:v>500</c:v>
                </c:pt>
                <c:pt idx="17">
                  <c:v>800</c:v>
                </c:pt>
                <c:pt idx="18">
                  <c:v>680</c:v>
                </c:pt>
                <c:pt idx="19">
                  <c:v>690</c:v>
                </c:pt>
                <c:pt idx="20">
                  <c:v>807.69230769230774</c:v>
                </c:pt>
                <c:pt idx="21">
                  <c:v>800</c:v>
                </c:pt>
                <c:pt idx="22">
                  <c:v>2516.6666666666665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F-C043-A248-D490F6E2B233}"/>
            </c:ext>
          </c:extLst>
        </c:ser>
        <c:ser>
          <c:idx val="1"/>
          <c:order val="1"/>
          <c:tx>
            <c:strRef>
              <c:f>Finished_sheet!$C$1</c:f>
              <c:strCache>
                <c:ptCount val="1"/>
                <c:pt idx="0">
                  <c:v>Average of Transportation cost(updated)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Finished_sheet!$A$2:$A$25</c:f>
              <c:strCache>
                <c:ptCount val="23"/>
                <c:pt idx="0">
                  <c:v>Australia</c:v>
                </c:pt>
                <c:pt idx="1">
                  <c:v>Brazil</c:v>
                </c:pt>
                <c:pt idx="2">
                  <c:v>Cambodia</c:v>
                </c:pt>
                <c:pt idx="3">
                  <c:v>Canada</c:v>
                </c:pt>
                <c:pt idx="4">
                  <c:v>Egypt</c:v>
                </c:pt>
                <c:pt idx="5">
                  <c:v>France</c:v>
                </c:pt>
                <c:pt idx="6">
                  <c:v>Germany</c:v>
                </c:pt>
                <c:pt idx="7">
                  <c:v>Greece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Morocco</c:v>
                </c:pt>
                <c:pt idx="13">
                  <c:v>Netherlands</c:v>
                </c:pt>
                <c:pt idx="14">
                  <c:v>New Zealand</c:v>
                </c:pt>
                <c:pt idx="15">
                  <c:v>Scotland</c:v>
                </c:pt>
                <c:pt idx="16">
                  <c:v>South Africa</c:v>
                </c:pt>
                <c:pt idx="17">
                  <c:v>South Korea</c:v>
                </c:pt>
                <c:pt idx="18">
                  <c:v>Spain</c:v>
                </c:pt>
                <c:pt idx="19">
                  <c:v>Thailand</c:v>
                </c:pt>
                <c:pt idx="20">
                  <c:v>UK</c:v>
                </c:pt>
                <c:pt idx="21">
                  <c:v>United Arab Emirates</c:v>
                </c:pt>
                <c:pt idx="22">
                  <c:v>USA</c:v>
                </c:pt>
              </c:strCache>
            </c:strRef>
          </c:cat>
          <c:val>
            <c:numRef>
              <c:f>Finished_sheet!$C$2:$C$25</c:f>
              <c:numCache>
                <c:formatCode>General</c:formatCode>
                <c:ptCount val="23"/>
                <c:pt idx="0">
                  <c:v>650</c:v>
                </c:pt>
                <c:pt idx="1">
                  <c:v>448.21428571428572</c:v>
                </c:pt>
                <c:pt idx="2">
                  <c:v>500</c:v>
                </c:pt>
                <c:pt idx="3">
                  <c:v>1933.3333333333333</c:v>
                </c:pt>
                <c:pt idx="4">
                  <c:v>550</c:v>
                </c:pt>
                <c:pt idx="5">
                  <c:v>629.375</c:v>
                </c:pt>
                <c:pt idx="6">
                  <c:v>450</c:v>
                </c:pt>
                <c:pt idx="7">
                  <c:v>633.33333333333337</c:v>
                </c:pt>
                <c:pt idx="8">
                  <c:v>600</c:v>
                </c:pt>
                <c:pt idx="9">
                  <c:v>360</c:v>
                </c:pt>
                <c:pt idx="10">
                  <c:v>850</c:v>
                </c:pt>
                <c:pt idx="11">
                  <c:v>620</c:v>
                </c:pt>
                <c:pt idx="12">
                  <c:v>1000</c:v>
                </c:pt>
                <c:pt idx="13">
                  <c:v>583.33333333333337</c:v>
                </c:pt>
                <c:pt idx="14">
                  <c:v>200</c:v>
                </c:pt>
                <c:pt idx="15">
                  <c:v>800</c:v>
                </c:pt>
                <c:pt idx="16">
                  <c:v>1200</c:v>
                </c:pt>
                <c:pt idx="17">
                  <c:v>900</c:v>
                </c:pt>
                <c:pt idx="18">
                  <c:v>600</c:v>
                </c:pt>
                <c:pt idx="19">
                  <c:v>240</c:v>
                </c:pt>
                <c:pt idx="20">
                  <c:v>653.84615384615381</c:v>
                </c:pt>
                <c:pt idx="21">
                  <c:v>200</c:v>
                </c:pt>
                <c:pt idx="22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F-C043-A248-D490F6E2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175951"/>
        <c:axId val="1088169215"/>
      </c:barChart>
      <c:catAx>
        <c:axId val="1089175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169215"/>
        <c:crosses val="autoZero"/>
        <c:auto val="1"/>
        <c:lblAlgn val="ctr"/>
        <c:lblOffset val="100"/>
        <c:noMultiLvlLbl val="0"/>
      </c:catAx>
      <c:valAx>
        <c:axId val="108816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175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 Cost of Accomodation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6"/>
              <c:pt idx="0">
                <c:v>Airbnb</c:v>
              </c:pt>
              <c:pt idx="1">
                <c:v>Hostel</c:v>
              </c:pt>
              <c:pt idx="2">
                <c:v>Hotel</c:v>
              </c:pt>
              <c:pt idx="3">
                <c:v>Resort</c:v>
              </c:pt>
              <c:pt idx="4">
                <c:v>Vacation rental</c:v>
              </c:pt>
              <c:pt idx="5">
                <c:v>Villa</c:v>
              </c:pt>
            </c:strLit>
          </c:cat>
          <c:val>
            <c:numLit>
              <c:formatCode>General</c:formatCode>
              <c:ptCount val="6"/>
              <c:pt idx="0">
                <c:v>1186.6666666666667</c:v>
              </c:pt>
              <c:pt idx="1">
                <c:v>1634.5833333333333</c:v>
              </c:pt>
              <c:pt idx="2">
                <c:v>954.16666666666663</c:v>
              </c:pt>
              <c:pt idx="3">
                <c:v>950</c:v>
              </c:pt>
              <c:pt idx="4">
                <c:v>500</c:v>
              </c:pt>
              <c:pt idx="5">
                <c:v>3675</c:v>
              </c:pt>
            </c:numLit>
          </c:val>
          <c:extLst>
            <c:ext xmlns:c16="http://schemas.microsoft.com/office/drawing/2014/chart" uri="{C3380CC4-5D6E-409C-BE32-E72D297353CC}">
              <c16:uniqueId val="{00000000-2F25-F349-9B5E-806D5EF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52513551"/>
        <c:axId val="1152514415"/>
      </c:barChart>
      <c:catAx>
        <c:axId val="115251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514415"/>
        <c:crosses val="autoZero"/>
        <c:auto val="1"/>
        <c:lblAlgn val="ctr"/>
        <c:lblOffset val="100"/>
        <c:noMultiLvlLbl val="0"/>
      </c:catAx>
      <c:valAx>
        <c:axId val="1152514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251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Cost of Travel per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Average of Accomodation cost(updated)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833.33333333333337</c:v>
              </c:pt>
              <c:pt idx="1">
                <c:v>748</c:v>
              </c:pt>
              <c:pt idx="2">
                <c:v>1050</c:v>
              </c:pt>
              <c:pt idx="3">
                <c:v>1342.8571428571429</c:v>
              </c:pt>
              <c:pt idx="4">
                <c:v>1510</c:v>
              </c:pt>
              <c:pt idx="5">
                <c:v>1126.6666666666667</c:v>
              </c:pt>
              <c:pt idx="6">
                <c:v>1537.5</c:v>
              </c:pt>
              <c:pt idx="7">
                <c:v>852.94117647058829</c:v>
              </c:pt>
              <c:pt idx="8">
                <c:v>1905.8823529411766</c:v>
              </c:pt>
              <c:pt idx="9">
                <c:v>1105.5555555555557</c:v>
              </c:pt>
              <c:pt idx="10">
                <c:v>1381.8181818181818</c:v>
              </c:pt>
              <c:pt idx="11">
                <c:v>740</c:v>
              </c:pt>
            </c:numLit>
          </c:val>
          <c:extLst>
            <c:ext xmlns:c16="http://schemas.microsoft.com/office/drawing/2014/chart" uri="{C3380CC4-5D6E-409C-BE32-E72D297353CC}">
              <c16:uniqueId val="{00000000-DE2E-4642-B163-E3F42088803A}"/>
            </c:ext>
          </c:extLst>
        </c:ser>
        <c:ser>
          <c:idx val="1"/>
          <c:order val="1"/>
          <c:tx>
            <c:v>Average of Transportation cost(updated)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2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  <c:pt idx="8">
                <c:v>Sep</c:v>
              </c:pt>
              <c:pt idx="9">
                <c:v>Oct</c:v>
              </c:pt>
              <c:pt idx="10">
                <c:v>Nov</c:v>
              </c:pt>
              <c:pt idx="11">
                <c:v>Dec</c:v>
              </c:pt>
            </c:strLit>
          </c:cat>
          <c:val>
            <c:numLit>
              <c:formatCode>General</c:formatCode>
              <c:ptCount val="12"/>
              <c:pt idx="0">
                <c:v>577.77777777777783</c:v>
              </c:pt>
              <c:pt idx="1">
                <c:v>437</c:v>
              </c:pt>
              <c:pt idx="2">
                <c:v>391.66666666666669</c:v>
              </c:pt>
              <c:pt idx="3">
                <c:v>337.5</c:v>
              </c:pt>
              <c:pt idx="4">
                <c:v>624.66666666666663</c:v>
              </c:pt>
              <c:pt idx="5">
                <c:v>826.66666666666663</c:v>
              </c:pt>
              <c:pt idx="6">
                <c:v>728.125</c:v>
              </c:pt>
              <c:pt idx="7">
                <c:v>911.76470588235293</c:v>
              </c:pt>
              <c:pt idx="8">
                <c:v>588.23529411764707</c:v>
              </c:pt>
              <c:pt idx="9">
                <c:v>666.66666666666663</c:v>
              </c:pt>
              <c:pt idx="10">
                <c:v>525.4545454545455</c:v>
              </c:pt>
              <c:pt idx="11">
                <c:v>620</c:v>
              </c:pt>
            </c:numLit>
          </c:val>
          <c:extLst>
            <c:ext xmlns:c16="http://schemas.microsoft.com/office/drawing/2014/chart" uri="{C3380CC4-5D6E-409C-BE32-E72D297353CC}">
              <c16:uniqueId val="{00000001-DE2E-4642-B163-E3F420888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  <c:axId val="1088773103"/>
        <c:axId val="1089315567"/>
      </c:barChart>
      <c:catAx>
        <c:axId val="1088773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9315567"/>
        <c:crosses val="autoZero"/>
        <c:auto val="1"/>
        <c:lblAlgn val="ctr"/>
        <c:lblOffset val="100"/>
        <c:noMultiLvlLbl val="0"/>
      </c:catAx>
      <c:valAx>
        <c:axId val="108931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773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  <a:r>
              <a:rPr lang="en-US" baseline="0"/>
              <a:t> Methods for Top Destinations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Australia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2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C713-4B42-B222-06DA7AB51537}"/>
            </c:ext>
          </c:extLst>
        </c:ser>
        <c:ser>
          <c:idx val="1"/>
          <c:order val="1"/>
          <c:tx>
            <c:v>Brazil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1</c:v>
              </c:pt>
              <c:pt idx="2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1-C713-4B42-B222-06DA7AB51537}"/>
            </c:ext>
          </c:extLst>
        </c:ser>
        <c:ser>
          <c:idx val="2"/>
          <c:order val="2"/>
          <c:tx>
            <c:v>France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2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2-C713-4B42-B222-06DA7AB51537}"/>
            </c:ext>
          </c:extLst>
        </c:ser>
        <c:ser>
          <c:idx val="3"/>
          <c:order val="3"/>
          <c:tx>
            <c:v>Japan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03-C713-4B42-B222-06DA7AB51537}"/>
            </c:ext>
          </c:extLst>
        </c:ser>
        <c:ser>
          <c:idx val="4"/>
          <c:order val="4"/>
          <c:tx>
            <c:v>Netherlands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4-C713-4B42-B222-06DA7AB51537}"/>
            </c:ext>
          </c:extLst>
        </c:ser>
        <c:ser>
          <c:idx val="5"/>
          <c:order val="5"/>
          <c:tx>
            <c:v>UK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3"/>
              <c:pt idx="0">
                <c:v>Airplane</c:v>
              </c:pt>
              <c:pt idx="1">
                <c:v>Car rental</c:v>
              </c:pt>
              <c:pt idx="2">
                <c:v>Train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2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5-C713-4B42-B222-06DA7AB51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186278319"/>
        <c:axId val="1186280047"/>
      </c:barChart>
      <c:catAx>
        <c:axId val="118627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80047"/>
        <c:crosses val="autoZero"/>
        <c:auto val="1"/>
        <c:lblAlgn val="ctr"/>
        <c:lblOffset val="100"/>
        <c:noMultiLvlLbl val="0"/>
      </c:catAx>
      <c:valAx>
        <c:axId val="118628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7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of Transportation Cost for each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Airplane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800</c:v>
              </c:pt>
              <c:pt idx="1">
                <c:v>570</c:v>
              </c:pt>
              <c:pt idx="2">
                <c:v>500</c:v>
              </c:pt>
              <c:pt idx="3">
                <c:v>1933.3333333333333</c:v>
              </c:pt>
              <c:pt idx="4">
                <c:v>550</c:v>
              </c:pt>
              <c:pt idx="5">
                <c:v>775</c:v>
              </c:pt>
              <c:pt idx="6">
                <c:v>800</c:v>
              </c:pt>
              <c:pt idx="7">
                <c:v>850</c:v>
              </c:pt>
              <c:pt idx="8">
                <c:v>600</c:v>
              </c:pt>
              <c:pt idx="9">
                <c:v>533.33333333333337</c:v>
              </c:pt>
              <c:pt idx="10">
                <c:v>1875</c:v>
              </c:pt>
              <c:pt idx="11">
                <c:v>2500</c:v>
              </c:pt>
              <c:pt idx="12">
                <c:v>0</c:v>
              </c:pt>
              <c:pt idx="13">
                <c:v>700</c:v>
              </c:pt>
              <c:pt idx="14">
                <c:v>0</c:v>
              </c:pt>
              <c:pt idx="15">
                <c:v>800</c:v>
              </c:pt>
              <c:pt idx="16">
                <c:v>1200</c:v>
              </c:pt>
              <c:pt idx="17">
                <c:v>900</c:v>
              </c:pt>
              <c:pt idx="18">
                <c:v>675</c:v>
              </c:pt>
              <c:pt idx="19">
                <c:v>600</c:v>
              </c:pt>
              <c:pt idx="20">
                <c:v>887.5</c:v>
              </c:pt>
              <c:pt idx="21">
                <c:v>0</c:v>
              </c:pt>
              <c:pt idx="22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0-2FC0-FF49-AC96-697D52D4C50C}"/>
            </c:ext>
          </c:extLst>
        </c:ser>
        <c:ser>
          <c:idx val="1"/>
          <c:order val="1"/>
          <c:tx>
            <c:v>Bus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0</c:v>
              </c:pt>
              <c:pt idx="1">
                <c:v>75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100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50</c:v>
              </c:pt>
              <c:pt idx="11">
                <c:v>50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100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C0-FF49-AC96-697D52D4C50C}"/>
            </c:ext>
          </c:extLst>
        </c:ser>
        <c:ser>
          <c:idx val="2"/>
          <c:order val="2"/>
          <c:tx>
            <c:v>Car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0</c:v>
              </c:pt>
              <c:pt idx="1">
                <c:v>2000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2000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300</c:v>
              </c:pt>
            </c:numLit>
          </c:val>
          <c:extLst>
            <c:ext xmlns:c16="http://schemas.microsoft.com/office/drawing/2014/chart" uri="{C3380CC4-5D6E-409C-BE32-E72D297353CC}">
              <c16:uniqueId val="{00000002-2FC0-FF49-AC96-697D52D4C50C}"/>
            </c:ext>
          </c:extLst>
        </c:ser>
        <c:ser>
          <c:idx val="3"/>
          <c:order val="3"/>
          <c:tx>
            <c:v>Car rental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350</c:v>
              </c:pt>
              <c:pt idx="1">
                <c:v>400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250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250</c:v>
              </c:pt>
              <c:pt idx="11">
                <c:v>400</c:v>
              </c:pt>
              <c:pt idx="12">
                <c:v>0</c:v>
              </c:pt>
              <c:pt idx="13">
                <c:v>300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300</c:v>
              </c:pt>
              <c:pt idx="19">
                <c:v>0</c:v>
              </c:pt>
              <c:pt idx="20">
                <c:v>250</c:v>
              </c:pt>
              <c:pt idx="21">
                <c:v>200</c:v>
              </c:pt>
              <c:pt idx="22">
                <c:v>300</c:v>
              </c:pt>
            </c:numLit>
          </c:val>
          <c:extLst>
            <c:ext xmlns:c16="http://schemas.microsoft.com/office/drawing/2014/chart" uri="{C3380CC4-5D6E-409C-BE32-E72D297353CC}">
              <c16:uniqueId val="{00000003-2FC0-FF49-AC96-697D52D4C50C}"/>
            </c:ext>
          </c:extLst>
        </c:ser>
        <c:ser>
          <c:idx val="4"/>
          <c:order val="4"/>
          <c:tx>
            <c:v>Ferry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150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2FC0-FF49-AC96-697D52D4C50C}"/>
            </c:ext>
          </c:extLst>
        </c:ser>
        <c:ser>
          <c:idx val="5"/>
          <c:order val="5"/>
          <c:tx>
            <c:v>Subway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20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C0-FF49-AC96-697D52D4C50C}"/>
            </c:ext>
          </c:extLst>
        </c:ser>
        <c:ser>
          <c:idx val="6"/>
          <c:order val="6"/>
          <c:tx>
            <c:v>Train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237.5</c:v>
              </c:pt>
              <c:pt idx="1">
                <c:v>158.33333333333334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135</c:v>
              </c:pt>
              <c:pt idx="6">
                <c:v>0</c:v>
              </c:pt>
              <c:pt idx="7">
                <c:v>200</c:v>
              </c:pt>
              <c:pt idx="8">
                <c:v>0</c:v>
              </c:pt>
              <c:pt idx="9">
                <c:v>100</c:v>
              </c:pt>
              <c:pt idx="10">
                <c:v>592.22222222222217</c:v>
              </c:pt>
              <c:pt idx="11">
                <c:v>100</c:v>
              </c:pt>
              <c:pt idx="12">
                <c:v>1000</c:v>
              </c:pt>
              <c:pt idx="13">
                <c:v>537.5</c:v>
              </c:pt>
              <c:pt idx="14">
                <c:v>200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150</c:v>
              </c:pt>
              <c:pt idx="20">
                <c:v>400</c:v>
              </c:pt>
              <c:pt idx="21">
                <c:v>0</c:v>
              </c:pt>
              <c:pt idx="2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2FC0-FF49-AC96-697D52D4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75548559"/>
        <c:axId val="1175550287"/>
      </c:barChart>
      <c:catAx>
        <c:axId val="117554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550287"/>
        <c:crosses val="autoZero"/>
        <c:auto val="1"/>
        <c:lblAlgn val="ctr"/>
        <c:lblOffset val="100"/>
        <c:noMultiLvlLbl val="0"/>
      </c:catAx>
      <c:valAx>
        <c:axId val="117555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548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Most Visited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3"/>
              <c:pt idx="0">
                <c:v>Australia</c:v>
              </c:pt>
              <c:pt idx="1">
                <c:v>Brazil</c:v>
              </c:pt>
              <c:pt idx="2">
                <c:v>Cambodia</c:v>
              </c:pt>
              <c:pt idx="3">
                <c:v>Canada</c:v>
              </c:pt>
              <c:pt idx="4">
                <c:v>Egypt</c:v>
              </c:pt>
              <c:pt idx="5">
                <c:v>France</c:v>
              </c:pt>
              <c:pt idx="6">
                <c:v>Germany</c:v>
              </c:pt>
              <c:pt idx="7">
                <c:v>Greece</c:v>
              </c:pt>
              <c:pt idx="8">
                <c:v>Indonesia</c:v>
              </c:pt>
              <c:pt idx="9">
                <c:v>Italy</c:v>
              </c:pt>
              <c:pt idx="10">
                <c:v>Japan</c:v>
              </c:pt>
              <c:pt idx="11">
                <c:v>Mexico</c:v>
              </c:pt>
              <c:pt idx="12">
                <c:v>Morocco</c:v>
              </c:pt>
              <c:pt idx="13">
                <c:v>Netherlands</c:v>
              </c:pt>
              <c:pt idx="14">
                <c:v>New Zealand</c:v>
              </c:pt>
              <c:pt idx="15">
                <c:v>Scotland</c:v>
              </c:pt>
              <c:pt idx="16">
                <c:v>South Africa</c:v>
              </c:pt>
              <c:pt idx="17">
                <c:v>South Korea</c:v>
              </c:pt>
              <c:pt idx="18">
                <c:v>Spain</c:v>
              </c:pt>
              <c:pt idx="19">
                <c:v>Thailand</c:v>
              </c:pt>
              <c:pt idx="20">
                <c:v>UK</c:v>
              </c:pt>
              <c:pt idx="21">
                <c:v>United Arab Emirates</c:v>
              </c:pt>
              <c:pt idx="22">
                <c:v>USA</c:v>
              </c:pt>
            </c:strLit>
          </c:cat>
          <c:val>
            <c:numLit>
              <c:formatCode>General</c:formatCode>
              <c:ptCount val="23"/>
              <c:pt idx="0">
                <c:v>21</c:v>
              </c:pt>
              <c:pt idx="1">
                <c:v>14</c:v>
              </c:pt>
              <c:pt idx="2">
                <c:v>1</c:v>
              </c:pt>
              <c:pt idx="3">
                <c:v>3</c:v>
              </c:pt>
              <c:pt idx="4">
                <c:v>2</c:v>
              </c:pt>
              <c:pt idx="5">
                <c:v>17</c:v>
              </c:pt>
              <c:pt idx="6">
                <c:v>2</c:v>
              </c:pt>
              <c:pt idx="7">
                <c:v>3</c:v>
              </c:pt>
              <c:pt idx="8">
                <c:v>1</c:v>
              </c:pt>
              <c:pt idx="9">
                <c:v>5</c:v>
              </c:pt>
              <c:pt idx="10">
                <c:v>18</c:v>
              </c:pt>
              <c:pt idx="11">
                <c:v>5</c:v>
              </c:pt>
              <c:pt idx="12">
                <c:v>1</c:v>
              </c:pt>
              <c:pt idx="13">
                <c:v>9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2</c:v>
              </c:pt>
              <c:pt idx="18">
                <c:v>5</c:v>
              </c:pt>
              <c:pt idx="19">
                <c:v>5</c:v>
              </c:pt>
              <c:pt idx="20">
                <c:v>13</c:v>
              </c:pt>
              <c:pt idx="21">
                <c:v>1</c:v>
              </c:pt>
              <c:pt idx="22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0-E66B-BE44-8345-1959FB11D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19769647"/>
        <c:axId val="719771375"/>
      </c:barChart>
      <c:catAx>
        <c:axId val="71976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771375"/>
        <c:crosses val="autoZero"/>
        <c:auto val="1"/>
        <c:lblAlgn val="ctr"/>
        <c:lblOffset val="100"/>
        <c:noMultiLvlLbl val="0"/>
      </c:catAx>
      <c:valAx>
        <c:axId val="71977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76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15</xdr:col>
      <xdr:colOff>533400</xdr:colOff>
      <xdr:row>25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2B7AFB-6DC0-5A77-3A46-D142E2855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279400</xdr:colOff>
      <xdr:row>25</xdr:row>
      <xdr:rowOff>190500</xdr:rowOff>
    </xdr:from>
    <xdr:to>
      <xdr:col>7</xdr:col>
      <xdr:colOff>812800</xdr:colOff>
      <xdr:row>39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D3450E-2BF2-F14D-8D64-7DC318FD59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177800</xdr:colOff>
      <xdr:row>40</xdr:row>
      <xdr:rowOff>25400</xdr:rowOff>
    </xdr:from>
    <xdr:to>
      <xdr:col>11</xdr:col>
      <xdr:colOff>635000</xdr:colOff>
      <xdr:row>54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2B6788-AAE7-0744-80A5-1DB7B33B1F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469900</xdr:colOff>
      <xdr:row>54</xdr:row>
      <xdr:rowOff>177800</xdr:rowOff>
    </xdr:from>
    <xdr:to>
      <xdr:col>17</xdr:col>
      <xdr:colOff>152400</xdr:colOff>
      <xdr:row>70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48D9E39-CB91-9749-8C43-E76853F85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12700</xdr:colOff>
      <xdr:row>71</xdr:row>
      <xdr:rowOff>50800</xdr:rowOff>
    </xdr:from>
    <xdr:to>
      <xdr:col>19</xdr:col>
      <xdr:colOff>355600</xdr:colOff>
      <xdr:row>96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27786B-8038-1D4A-AD37-9A980D3D7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98</xdr:row>
      <xdr:rowOff>0</xdr:rowOff>
    </xdr:from>
    <xdr:to>
      <xdr:col>9</xdr:col>
      <xdr:colOff>139700</xdr:colOff>
      <xdr:row>119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A079FD2-30B0-F144-B4BD-AB4C68343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95.505256481483" createdVersion="8" refreshedVersion="8" minRefreshableVersion="3" recordCount="144" xr:uid="{5FDE2E9E-91EB-6D45-847F-A14809A243A0}">
  <cacheSource type="worksheet">
    <worksheetSource ref="A1:O1048576" sheet="Travel details dataset"/>
  </cacheSource>
  <cacheFields count="17">
    <cacheField name="Trip ID" numFmtId="0">
      <sharedItems containsString="0" containsBlank="1" containsNumber="1" containsInteger="1" minValue="1" maxValue="139"/>
    </cacheField>
    <cacheField name="Destination" numFmtId="0">
      <sharedItems containsBlank="1" count="24">
        <s v="France"/>
        <s v="Canada"/>
        <s v="Japan"/>
        <s v="Mexico"/>
        <s v="UK"/>
        <s v="Germany"/>
        <s v="Brazil"/>
        <s v="USA"/>
        <s v="United Arab Emirates"/>
        <s v="Australia"/>
        <s v="Netherlands"/>
        <s v="Spain"/>
        <s v="Thailand"/>
        <s v="Cambodia"/>
        <s v="Indonesia"/>
        <s v="Greece"/>
        <s v="Scotland"/>
        <s v="South Korea"/>
        <s v="Egypt"/>
        <s v="Italy"/>
        <s v="South Africa"/>
        <s v="Morocco"/>
        <s v="New Zealand"/>
        <m/>
      </sharedItems>
    </cacheField>
    <cacheField name="Start date" numFmtId="0">
      <sharedItems containsNonDate="0" containsDate="1" containsString="0" containsBlank="1" minDate="2021-06-15T00:00:00" maxDate="2025-05-22T00:00:00" count="112">
        <d v="2025-04-15T00:00:00"/>
        <d v="2023-05-01T00:00:00"/>
        <d v="2023-07-15T00:00:00"/>
        <d v="2023-06-15T00:00:00"/>
        <d v="2023-08-15T00:00:00"/>
        <d v="2023-09-15T00:00:00"/>
        <d v="2023-11-20T00:00:00"/>
        <d v="2023-10-10T00:00:00"/>
        <d v="2022-09-05T00:00:00"/>
        <d v="2023-04-19T00:00:00"/>
        <d v="2024-02-01T00:00:00"/>
        <d v="2023-08-01T00:00:00"/>
        <d v="2023-06-01T00:00:00"/>
        <d v="2023-09-01T00:00:00"/>
        <d v="2021-10-15T00:00:00"/>
        <d v="2024-04-03T00:00:00"/>
        <d v="2023-01-07T00:00:00"/>
        <d v="2022-08-20T00:00:00"/>
        <d v="2023-05-08T00:00:00"/>
        <d v="2024-06-20T00:00:00"/>
        <d v="2022-06-20T00:00:00"/>
        <d v="2022-04-15T00:00:00"/>
        <d v="2022-07-02T00:00:00"/>
        <d v="2023-03-23T00:00:00"/>
        <d v="2023-11-05T00:00:00"/>
        <d v="2024-04-05T00:00:00"/>
        <d v="2022-08-25T00:00:00"/>
        <d v="2022-07-15T00:00:00"/>
        <d v="2023-10-05T00:00:00"/>
        <d v="2024-01-05T00:00:00"/>
        <d v="2023-12-24T00:00:00"/>
        <d v="2024-06-10T00:00:00"/>
        <d v="2024-03-10T00:00:00"/>
        <d v="2024-07-01T00:00:00"/>
        <d v="2023-07-01T00:00:00"/>
        <d v="2024-04-01T00:00:00"/>
        <d v="2024-08-20T00:00:00"/>
        <d v="2022-09-15T00:00:00"/>
        <d v="2022-05-10T00:00:00"/>
        <d v="2022-06-12T00:00:00"/>
        <d v="2022-10-12T00:00:00"/>
        <d v="2022-08-08T00:00:00"/>
        <d v="2022-12-24T00:00:00"/>
        <d v="2022-02-05T00:00:00"/>
        <d v="2024-07-20T00:00:00"/>
        <d v="2022-07-12T00:00:00"/>
        <d v="2021-06-15T00:00:00"/>
        <d v="2023-12-05T00:00:00"/>
        <d v="2023-06-23T00:00:00"/>
        <d v="2021-09-01T00:00:00"/>
        <d v="2024-02-05T00:00:00"/>
        <d v="2022-11-20T00:00:00"/>
        <d v="2023-01-05T00:00:00"/>
        <d v="2025-05-21T00:00:00"/>
        <d v="2021-11-20T00:00:00"/>
        <d v="2023-06-07T00:00:00"/>
        <d v="2025-01-01T00:00:00"/>
        <d v="2022-09-10T00:00:00"/>
        <d v="2022-07-01T00:00:00"/>
        <d v="2023-02-10T00:00:00"/>
        <d v="2022-12-10T00:00:00"/>
        <d v="2022-05-01T00:00:00"/>
        <d v="2022-11-11T00:00:00"/>
        <d v="2023-06-20T00:00:00"/>
        <d v="2022-01-01T00:00:00"/>
        <d v="2024-09-08T00:00:00"/>
        <d v="2022-03-10T00:00:00"/>
        <d v="2022-10-05T00:00:00"/>
        <d v="2022-07-20T00:00:00"/>
        <d v="2022-09-20T00:00:00"/>
        <d v="2024-05-15T00:00:00"/>
        <d v="2023-04-15T00:00:00"/>
        <d v="2024-07-22T00:00:00"/>
        <d v="2022-11-23T00:00:00"/>
        <d v="2022-08-05T00:00:00"/>
        <d v="2024-01-06T00:00:00"/>
        <d v="2023-08-18T00:00:00"/>
        <d v="2021-08-10T00:00:00"/>
        <d v="2023-08-20T00:00:00"/>
        <d v="2022-08-12T00:00:00"/>
        <d v="2023-11-12T00:00:00"/>
        <d v="2023-02-14T00:00:00"/>
        <d v="2022-06-15T00:00:00"/>
        <d v="2022-05-15T00:00:00"/>
        <d v="2024-05-10T00:00:00"/>
        <d v="2023-01-01T00:00:00"/>
        <d v="2024-01-15T00:00:00"/>
        <d v="2023-03-05T00:00:00"/>
        <d v="2023-07-22T00:00:00"/>
        <d v="2024-03-15T00:00:00"/>
        <d v="2023-05-15T00:00:00"/>
        <d v="2022-09-01T00:00:00"/>
        <d v="2022-11-08T00:00:00"/>
        <d v="2023-01-02T00:00:00"/>
        <d v="2022-03-15T00:00:00"/>
        <d v="2024-02-14T00:00:00"/>
        <d v="2024-05-06T00:00:00"/>
        <d v="2024-10-10T00:00:00"/>
        <d v="2023-11-01T00:00:00"/>
        <d v="2025-02-14T00:00:00"/>
        <d v="2024-07-15T00:00:00"/>
        <d v="2022-09-03T00:00:00"/>
        <d v="2022-07-10T00:00:00"/>
        <d v="2022-06-10T00:00:00"/>
        <d v="2021-07-01T00:00:00"/>
        <d v="2023-10-01T00:00:00"/>
        <d v="2024-09-05T00:00:00"/>
        <d v="2023-10-20T00:00:00"/>
        <d v="2023-12-22T00:00:00"/>
        <d v="2023-09-10T00:00:00"/>
        <d v="2022-02-14T00:00:00"/>
        <m/>
      </sharedItems>
      <fieldGroup par="16" base="2">
        <rangePr groupBy="months" startDate="2021-06-15T00:00:00" endDate="2025-05-22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2/25"/>
        </groupItems>
      </fieldGroup>
    </cacheField>
    <cacheField name="End date" numFmtId="0">
      <sharedItems containsNonDate="0" containsDate="1" containsString="0" containsBlank="1" minDate="2021-06-20T00:00:00" maxDate="2025-05-30T00:00:00"/>
    </cacheField>
    <cacheField name="Duration (days)" numFmtId="0">
      <sharedItems containsString="0" containsBlank="1" containsNumber="1" containsInteger="1" minValue="5" maxValue="14"/>
    </cacheField>
    <cacheField name="Traveler name" numFmtId="0">
      <sharedItems containsBlank="1"/>
    </cacheField>
    <cacheField name="Traveler age" numFmtId="0">
      <sharedItems containsString="0" containsBlank="1" containsNumber="1" containsInteger="1" minValue="20" maxValue="60"/>
    </cacheField>
    <cacheField name="Traveler gender" numFmtId="0">
      <sharedItems containsBlank="1"/>
    </cacheField>
    <cacheField name="Traveler nationality" numFmtId="0">
      <sharedItems containsBlank="1"/>
    </cacheField>
    <cacheField name="Accommodation type" numFmtId="0">
      <sharedItems containsBlank="1" count="9">
        <s v="Hotel"/>
        <s v="Airbnb"/>
        <s v="Hostel"/>
        <s v="Guesthouse"/>
        <s v="Vacation rental"/>
        <s v="Villa"/>
        <s v="Resort"/>
        <s v="Riad"/>
        <m/>
      </sharedItems>
    </cacheField>
    <cacheField name="Accommodation cost" numFmtId="0">
      <sharedItems containsBlank="1" containsMixedTypes="1" containsNumber="1" containsInteger="1" minValue="100" maxValue="8000"/>
    </cacheField>
    <cacheField name="Transportation type" numFmtId="0">
      <sharedItems containsBlank="1" count="11">
        <s v="-"/>
        <s v="Airplane"/>
        <s v="Bus"/>
        <s v="Car"/>
        <s v="Car rental"/>
        <s v="Ferry"/>
        <s v="Subway"/>
        <s v="Train"/>
        <m/>
        <s v="Flight" u="1"/>
        <s v="Plane" u="1"/>
      </sharedItems>
    </cacheField>
    <cacheField name="Transportation cost" numFmtId="0">
      <sharedItems containsBlank="1" containsMixedTypes="1" containsNumber="1" containsInteger="1" minValue="20" maxValue="3000"/>
    </cacheField>
    <cacheField name="Accomodation cost(updated)" numFmtId="0">
      <sharedItems containsString="0" containsBlank="1" containsNumber="1" containsInteger="1" minValue="100" maxValue="8000"/>
    </cacheField>
    <cacheField name="Transportation cost(updated)" numFmtId="0">
      <sharedItems containsBlank="1" containsMixedTypes="1" containsNumber="1" containsInteger="1" minValue="20" maxValue="3000"/>
    </cacheField>
    <cacheField name="Quarters" numFmtId="0" databaseField="0">
      <fieldGroup base="2">
        <rangePr groupBy="quarters" startDate="2021-06-15T00:00:00" endDate="2025-05-22T00:00:00"/>
        <groupItems count="6">
          <s v="&lt;6/15/21"/>
          <s v="Qtr1"/>
          <s v="Qtr2"/>
          <s v="Qtr3"/>
          <s v="Qtr4"/>
          <s v="&gt;5/22/25"/>
        </groupItems>
      </fieldGroup>
    </cacheField>
    <cacheField name="Years" numFmtId="0" databaseField="0">
      <fieldGroup base="2">
        <rangePr groupBy="years" startDate="2021-06-15T00:00:00" endDate="2025-05-22T00:00:00"/>
        <groupItems count="7">
          <s v="&lt;6/15/21"/>
          <s v="2021"/>
          <s v="2022"/>
          <s v="2023"/>
          <s v="2024"/>
          <s v="2025"/>
          <s v="&gt;5/22/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n v="83"/>
    <x v="0"/>
    <x v="0"/>
    <d v="2025-04-22T00:00:00"/>
    <n v="7"/>
    <s v="James Kim"/>
    <n v="41"/>
    <s v="Male"/>
    <s v="American"/>
    <x v="0"/>
    <n v="500"/>
    <x v="0"/>
    <s v="-"/>
    <n v="500"/>
    <s v="-"/>
  </r>
  <r>
    <n v="129"/>
    <x v="1"/>
    <x v="1"/>
    <d v="2023-05-07T00:00:00"/>
    <n v="6"/>
    <s v="John Doe"/>
    <n v="35"/>
    <s v="Male"/>
    <s v="American"/>
    <x v="0"/>
    <n v="500"/>
    <x v="1"/>
    <n v="2500"/>
    <n v="500"/>
    <n v="2500"/>
  </r>
  <r>
    <n v="134"/>
    <x v="1"/>
    <x v="2"/>
    <d v="2023-07-22T00:00:00"/>
    <n v="7"/>
    <s v="Emily Davis"/>
    <n v="27"/>
    <s v="Female"/>
    <s v="American"/>
    <x v="0"/>
    <n v="500"/>
    <x v="1"/>
    <n v="2500"/>
    <n v="500"/>
    <n v="2500"/>
  </r>
  <r>
    <n v="132"/>
    <x v="2"/>
    <x v="3"/>
    <d v="2023-06-21T00:00:00"/>
    <n v="6"/>
    <s v="Sarah Lee"/>
    <n v="31"/>
    <s v="Female"/>
    <s v="Australian"/>
    <x v="0"/>
    <n v="600"/>
    <x v="1"/>
    <n v="3000"/>
    <n v="600"/>
    <n v="3000"/>
  </r>
  <r>
    <n v="136"/>
    <x v="2"/>
    <x v="4"/>
    <d v="2023-08-21T00:00:00"/>
    <n v="6"/>
    <s v="Emma Wilson"/>
    <n v="29"/>
    <s v="Female"/>
    <s v="Canadian"/>
    <x v="0"/>
    <n v="1000"/>
    <x v="1"/>
    <n v="3000"/>
    <n v="1000"/>
    <n v="3000"/>
  </r>
  <r>
    <n v="138"/>
    <x v="3"/>
    <x v="5"/>
    <d v="2023-09-22T00:00:00"/>
    <n v="7"/>
    <s v="Sofia Rodriguez"/>
    <n v="25"/>
    <s v="Female"/>
    <s v="Spanish"/>
    <x v="1"/>
    <s v="400 USD"/>
    <x v="1"/>
    <n v="2500"/>
    <n v="400"/>
    <n v="2500"/>
  </r>
  <r>
    <n v="21"/>
    <x v="4"/>
    <x v="6"/>
    <d v="2023-11-25T00:00:00"/>
    <n v="5"/>
    <s v="Emily Lee"/>
    <n v="27"/>
    <s v="Female"/>
    <s v="American"/>
    <x v="1"/>
    <n v="100"/>
    <x v="2"/>
    <n v="100"/>
    <n v="100"/>
    <n v="100"/>
  </r>
  <r>
    <n v="51"/>
    <x v="5"/>
    <x v="7"/>
    <d v="2023-10-20T00:00:00"/>
    <n v="10"/>
    <s v="David Kim"/>
    <n v="25"/>
    <s v="Male"/>
    <s v="American"/>
    <x v="2"/>
    <n v="150"/>
    <x v="2"/>
    <n v="100"/>
    <n v="150"/>
    <n v="100"/>
  </r>
  <r>
    <n v="32"/>
    <x v="2"/>
    <x v="8"/>
    <d v="2022-09-14T00:00:00"/>
    <n v="9"/>
    <s v="Olivia Martin"/>
    <n v="33"/>
    <s v="Female"/>
    <s v="Australian"/>
    <x v="2"/>
    <n v="500"/>
    <x v="2"/>
    <n v="50"/>
    <n v="500"/>
    <n v="50"/>
  </r>
  <r>
    <n v="38"/>
    <x v="6"/>
    <x v="9"/>
    <d v="2023-04-26T00:00:00"/>
    <n v="7"/>
    <s v="Amelia Brown"/>
    <n v="38"/>
    <s v="Female"/>
    <s v="Australian"/>
    <x v="1"/>
    <n v="500"/>
    <x v="2"/>
    <n v="75"/>
    <n v="500"/>
    <n v="75"/>
  </r>
  <r>
    <n v="55"/>
    <x v="3"/>
    <x v="10"/>
    <d v="2024-02-09T00:00:00"/>
    <n v="8"/>
    <s v="Nisa Patel"/>
    <n v="23"/>
    <s v="Female"/>
    <s v="Indian"/>
    <x v="2"/>
    <n v="1200"/>
    <x v="2"/>
    <n v="50"/>
    <n v="1200"/>
    <n v="50"/>
  </r>
  <r>
    <n v="47"/>
    <x v="3"/>
    <x v="1"/>
    <d v="2023-05-07T00:00:00"/>
    <n v="6"/>
    <s v="Nina Patel"/>
    <n v="29"/>
    <s v="Female"/>
    <s v="Indian"/>
    <x v="1"/>
    <n v="1200"/>
    <x v="2"/>
    <n v="50"/>
    <n v="1200"/>
    <n v="50"/>
  </r>
  <r>
    <n v="135"/>
    <x v="6"/>
    <x v="11"/>
    <d v="2023-08-10T00:00:00"/>
    <n v="9"/>
    <s v="Jose Perez"/>
    <n v="37"/>
    <s v="Male"/>
    <s v="Brazilian"/>
    <x v="2"/>
    <n v="700"/>
    <x v="3"/>
    <n v="2000"/>
    <n v="700"/>
    <n v="2000"/>
  </r>
  <r>
    <n v="131"/>
    <x v="2"/>
    <x v="12"/>
    <d v="2023-06-10T00:00:00"/>
    <n v="9"/>
    <s v="Michael Johnson"/>
    <n v="45"/>
    <s v="Male"/>
    <s v="South African"/>
    <x v="2"/>
    <n v="5000"/>
    <x v="3"/>
    <n v="2000"/>
    <n v="5000"/>
    <n v="2000"/>
  </r>
  <r>
    <n v="77"/>
    <x v="7"/>
    <x v="13"/>
    <d v="2023-09-10T00:00:00"/>
    <n v="9"/>
    <s v="Mark Johnson"/>
    <n v="31"/>
    <s v="Male"/>
    <s v="South African"/>
    <x v="3"/>
    <n v="6000"/>
    <x v="3"/>
    <s v="300 USD"/>
    <n v="6000"/>
    <n v="300"/>
  </r>
  <r>
    <n v="88"/>
    <x v="0"/>
    <x v="14"/>
    <d v="2021-10-20T00:00:00"/>
    <n v="6"/>
    <s v="Emily Davis"/>
    <n v="31"/>
    <s v="Female"/>
    <s v="American"/>
    <x v="1"/>
    <n v="500"/>
    <x v="4"/>
    <s v="200 USD"/>
    <n v="500"/>
    <n v="200"/>
  </r>
  <r>
    <n v="103"/>
    <x v="6"/>
    <x v="15"/>
    <d v="2024-04-10T00:00:00"/>
    <n v="7"/>
    <s v="Rodrigo Oliveira"/>
    <n v="33"/>
    <s v="Male"/>
    <s v="Brazilian"/>
    <x v="0"/>
    <n v="700"/>
    <x v="4"/>
    <n v="400"/>
    <n v="700"/>
    <n v="400"/>
  </r>
  <r>
    <n v="63"/>
    <x v="8"/>
    <x v="16"/>
    <d v="2023-01-16T00:00:00"/>
    <n v="9"/>
    <s v="Emily Watson"/>
    <n v="29"/>
    <s v="Female"/>
    <s v="British"/>
    <x v="4"/>
    <n v="800"/>
    <x v="4"/>
    <n v="200"/>
    <n v="800"/>
    <n v="200"/>
  </r>
  <r>
    <n v="31"/>
    <x v="9"/>
    <x v="17"/>
    <d v="2022-09-02T00:00:00"/>
    <n v="13"/>
    <s v="Emma Davis"/>
    <n v="28"/>
    <s v="Female"/>
    <s v="British"/>
    <x v="0"/>
    <n v="800"/>
    <x v="4"/>
    <n v="500"/>
    <n v="800"/>
    <n v="500"/>
  </r>
  <r>
    <n v="99"/>
    <x v="4"/>
    <x v="18"/>
    <d v="2023-05-14T00:00:00"/>
    <n v="6"/>
    <s v="Michael Wong"/>
    <n v="50"/>
    <s v="Male"/>
    <s v="Chinese"/>
    <x v="1"/>
    <n v="1000"/>
    <x v="4"/>
    <n v="300"/>
    <n v="1000"/>
    <n v="300"/>
  </r>
  <r>
    <n v="59"/>
    <x v="10"/>
    <x v="19"/>
    <d v="2024-06-27T00:00:00"/>
    <n v="7"/>
    <s v="Michael Chen"/>
    <n v="26"/>
    <s v="Male"/>
    <s v="Chinese"/>
    <x v="0"/>
    <n v="1000"/>
    <x v="4"/>
    <n v="300"/>
    <n v="1000"/>
    <n v="300"/>
  </r>
  <r>
    <n v="108"/>
    <x v="4"/>
    <x v="20"/>
    <d v="2022-06-25T00:00:00"/>
    <n v="5"/>
    <s v="Michael Wong"/>
    <n v="42"/>
    <s v="Male"/>
    <s v="Canadian"/>
    <x v="0"/>
    <n v="1200"/>
    <x v="4"/>
    <n v="200"/>
    <n v="1200"/>
    <n v="200"/>
  </r>
  <r>
    <n v="93"/>
    <x v="11"/>
    <x v="21"/>
    <d v="2022-04-25T00:00:00"/>
    <n v="11"/>
    <s v="Putra Wijaya"/>
    <n v="33"/>
    <s v="Male"/>
    <s v="Indonesian"/>
    <x v="5"/>
    <n v="1200"/>
    <x v="4"/>
    <s v="300 USD"/>
    <n v="1200"/>
    <n v="300"/>
  </r>
  <r>
    <n v="30"/>
    <x v="0"/>
    <x v="22"/>
    <d v="2022-07-11T00:00:00"/>
    <n v="9"/>
    <s v="Charlie Lee"/>
    <n v="25"/>
    <s v="Male"/>
    <s v="Korean"/>
    <x v="1"/>
    <n v="1500"/>
    <x v="4"/>
    <n v="300"/>
    <n v="1500"/>
    <n v="300"/>
  </r>
  <r>
    <n v="37"/>
    <x v="3"/>
    <x v="23"/>
    <d v="2023-03-31T00:00:00"/>
    <n v="8"/>
    <s v="William Davis"/>
    <n v="27"/>
    <s v="Male"/>
    <s v="Korean"/>
    <x v="0"/>
    <n v="1500"/>
    <x v="4"/>
    <n v="400"/>
    <n v="1500"/>
    <n v="400"/>
  </r>
  <r>
    <n v="52"/>
    <x v="9"/>
    <x v="24"/>
    <d v="2023-11-12T00:00:00"/>
    <n v="7"/>
    <s v="Rachel Lee"/>
    <n v="27"/>
    <s v="Female"/>
    <s v="German"/>
    <x v="1"/>
    <s v="1000 USD"/>
    <x v="4"/>
    <n v="200"/>
    <n v="1000"/>
    <n v="200"/>
  </r>
  <r>
    <n v="57"/>
    <x v="2"/>
    <x v="25"/>
    <d v="2024-04-13T00:00:00"/>
    <n v="8"/>
    <s v="Laura Gomez"/>
    <n v="29"/>
    <s v="Female"/>
    <s v="Spanish"/>
    <x v="1"/>
    <s v="1500 USD"/>
    <x v="4"/>
    <n v="250"/>
    <n v="1500"/>
    <n v="250"/>
  </r>
  <r>
    <n v="115"/>
    <x v="7"/>
    <x v="26"/>
    <d v="2022-08-30T00:00:00"/>
    <n v="5"/>
    <s v="Sophia Kim"/>
    <n v="29"/>
    <s v="Female"/>
    <s v="United Arab Emirates"/>
    <x v="0"/>
    <s v="700 USD"/>
    <x v="4"/>
    <n v="300"/>
    <n v="700"/>
    <n v="300"/>
  </r>
  <r>
    <n v="114"/>
    <x v="2"/>
    <x v="27"/>
    <d v="2022-07-22T00:00:00"/>
    <n v="7"/>
    <s v="George Chen"/>
    <n v="27"/>
    <s v="Male"/>
    <s v="Greek"/>
    <x v="1"/>
    <n v="1200"/>
    <x v="5"/>
    <n v="150"/>
    <n v="1200"/>
    <n v="150"/>
  </r>
  <r>
    <n v="1"/>
    <x v="12"/>
    <x v="1"/>
    <d v="2023-05-08T00:00:00"/>
    <n v="7"/>
    <s v="John Smith"/>
    <n v="35"/>
    <s v="Male"/>
    <s v="American"/>
    <x v="0"/>
    <n v="350"/>
    <x v="1"/>
    <n v="600"/>
    <n v="350"/>
    <n v="600"/>
  </r>
  <r>
    <n v="6"/>
    <x v="1"/>
    <x v="28"/>
    <d v="2023-10-10T00:00:00"/>
    <n v="5"/>
    <s v="Michael Brown"/>
    <n v="42"/>
    <s v="Male"/>
    <s v="American"/>
    <x v="0"/>
    <n v="400"/>
    <x v="1"/>
    <n v="800"/>
    <n v="400"/>
    <n v="800"/>
  </r>
  <r>
    <n v="7"/>
    <x v="9"/>
    <x v="6"/>
    <d v="2023-11-30T00:00:00"/>
    <n v="10"/>
    <s v="Emily Davis"/>
    <n v="33"/>
    <s v="Female"/>
    <s v="Australian"/>
    <x v="2"/>
    <n v="600"/>
    <x v="1"/>
    <n v="1200"/>
    <n v="600"/>
    <n v="1200"/>
  </r>
  <r>
    <n v="8"/>
    <x v="6"/>
    <x v="29"/>
    <d v="2024-01-12T00:00:00"/>
    <n v="7"/>
    <s v="Lucas Santos"/>
    <n v="25"/>
    <s v="Male"/>
    <s v="Brazilian"/>
    <x v="1"/>
    <n v="700"/>
    <x v="1"/>
    <n v="600"/>
    <n v="700"/>
    <n v="600"/>
  </r>
  <r>
    <n v="4"/>
    <x v="4"/>
    <x v="4"/>
    <d v="2023-08-29T00:00:00"/>
    <n v="14"/>
    <s v="Sarah Johnson"/>
    <n v="29"/>
    <s v="Female"/>
    <s v="British"/>
    <x v="0"/>
    <n v="800"/>
    <x v="1"/>
    <n v="1000"/>
    <n v="800"/>
    <n v="1000"/>
  </r>
  <r>
    <n v="2"/>
    <x v="11"/>
    <x v="3"/>
    <d v="2023-06-20T00:00:00"/>
    <n v="5"/>
    <s v="Jane Doe"/>
    <n v="28"/>
    <s v="Female"/>
    <s v="Canadian"/>
    <x v="6"/>
    <n v="900"/>
    <x v="1"/>
    <n v="500"/>
    <n v="900"/>
    <n v="500"/>
  </r>
  <r>
    <n v="53"/>
    <x v="5"/>
    <x v="30"/>
    <d v="2023-12-31T00:00:00"/>
    <n v="7"/>
    <s v="Jessica Wong"/>
    <n v="28"/>
    <s v="Female"/>
    <s v="Canadian"/>
    <x v="0"/>
    <n v="900"/>
    <x v="1"/>
    <n v="800"/>
    <n v="900"/>
    <n v="800"/>
  </r>
  <r>
    <n v="13"/>
    <x v="0"/>
    <x v="31"/>
    <d v="2024-06-18T00:00:00"/>
    <n v="8"/>
    <s v="Lily Wong"/>
    <n v="29"/>
    <s v="Female"/>
    <s v="Chinese"/>
    <x v="6"/>
    <n v="1000"/>
    <x v="1"/>
    <n v="1200"/>
    <n v="1000"/>
    <n v="1200"/>
  </r>
  <r>
    <n v="10"/>
    <x v="10"/>
    <x v="32"/>
    <d v="2024-03-17T00:00:00"/>
    <n v="7"/>
    <s v="Mohammed Ali"/>
    <n v="39"/>
    <s v="Male"/>
    <s v="Emirati"/>
    <x v="6"/>
    <n v="1100"/>
    <x v="1"/>
    <n v="800"/>
    <n v="1100"/>
    <n v="800"/>
  </r>
  <r>
    <n v="14"/>
    <x v="0"/>
    <x v="33"/>
    <d v="2024-07-10T00:00:00"/>
    <n v="9"/>
    <s v="Hans Mueller"/>
    <n v="48"/>
    <s v="Male"/>
    <s v="German"/>
    <x v="0"/>
    <n v="1200"/>
    <x v="1"/>
    <n v="700"/>
    <n v="1200"/>
    <n v="700"/>
  </r>
  <r>
    <n v="3"/>
    <x v="0"/>
    <x v="34"/>
    <d v="2023-07-08T00:00:00"/>
    <n v="7"/>
    <s v="David Lee"/>
    <n v="45"/>
    <s v="Male"/>
    <s v="Korean"/>
    <x v="5"/>
    <n v="1500"/>
    <x v="1"/>
    <n v="700"/>
    <n v="1500"/>
    <n v="700"/>
  </r>
  <r>
    <n v="11"/>
    <x v="9"/>
    <x v="35"/>
    <d v="2024-04-08T00:00:00"/>
    <n v="7"/>
    <s v="Ana Hernandez"/>
    <n v="27"/>
    <s v="Female"/>
    <s v="Mexican"/>
    <x v="0"/>
    <n v="2500"/>
    <x v="1"/>
    <n v="500"/>
    <n v="2500"/>
    <n v="500"/>
  </r>
  <r>
    <n v="15"/>
    <x v="9"/>
    <x v="36"/>
    <d v="2024-08-27T00:00:00"/>
    <n v="7"/>
    <s v="Fatima Khouri"/>
    <n v="26"/>
    <s v="Female"/>
    <s v="Moroccan"/>
    <x v="7"/>
    <n v="3000"/>
    <x v="1"/>
    <n v="400"/>
    <n v="3000"/>
    <n v="400"/>
  </r>
  <r>
    <n v="17"/>
    <x v="10"/>
    <x v="13"/>
    <d v="2023-09-10T00:00:00"/>
    <n v="9"/>
    <s v="Sarah Johnson"/>
    <n v="30"/>
    <s v="Female"/>
    <s v="American"/>
    <x v="0"/>
    <n v="200"/>
    <x v="1"/>
    <n v="400"/>
    <n v="200"/>
    <n v="400"/>
  </r>
  <r>
    <n v="46"/>
    <x v="13"/>
    <x v="37"/>
    <d v="2022-09-22T00:00:00"/>
    <n v="7"/>
    <s v="Michael Davis"/>
    <n v="41"/>
    <s v="Male"/>
    <s v="American"/>
    <x v="0"/>
    <n v="200"/>
    <x v="1"/>
    <n v="500"/>
    <n v="200"/>
    <n v="500"/>
  </r>
  <r>
    <n v="28"/>
    <x v="4"/>
    <x v="38"/>
    <d v="2022-05-18T00:00:00"/>
    <n v="8"/>
    <s v="Alice Smith"/>
    <n v="30"/>
    <s v="Female"/>
    <s v="American"/>
    <x v="0"/>
    <n v="200"/>
    <x v="1"/>
    <n v="500"/>
    <n v="200"/>
    <n v="500"/>
  </r>
  <r>
    <n v="39"/>
    <x v="4"/>
    <x v="39"/>
    <d v="2022-06-19T00:00:00"/>
    <n v="7"/>
    <s v="Mia Johnson"/>
    <n v="25"/>
    <s v="Female"/>
    <s v="American"/>
    <x v="0"/>
    <n v="300"/>
    <x v="1"/>
    <n v="600"/>
    <n v="300"/>
    <n v="600"/>
  </r>
  <r>
    <n v="33"/>
    <x v="0"/>
    <x v="40"/>
    <d v="2022-10-20T00:00:00"/>
    <n v="8"/>
    <s v="Harry Wilson"/>
    <n v="20"/>
    <s v="Male"/>
    <s v="American"/>
    <x v="1"/>
    <n v="300"/>
    <x v="1"/>
    <n v="600"/>
    <n v="300"/>
    <n v="600"/>
  </r>
  <r>
    <n v="122"/>
    <x v="14"/>
    <x v="41"/>
    <d v="2022-08-16T00:00:00"/>
    <n v="8"/>
    <s v="Frank Li"/>
    <n v="41"/>
    <s v="Male"/>
    <s v="American"/>
    <x v="0"/>
    <n v="300"/>
    <x v="1"/>
    <n v="600"/>
    <n v="300"/>
    <n v="600"/>
  </r>
  <r>
    <n v="126"/>
    <x v="0"/>
    <x v="42"/>
    <d v="2023-01-01T00:00:00"/>
    <n v="8"/>
    <s v="Jack Smith"/>
    <n v="28"/>
    <s v="Male"/>
    <s v="American"/>
    <x v="2"/>
    <n v="400"/>
    <x v="1"/>
    <n v="700"/>
    <n v="400"/>
    <n v="700"/>
  </r>
  <r>
    <n v="117"/>
    <x v="15"/>
    <x v="43"/>
    <d v="2022-02-14T00:00:00"/>
    <n v="9"/>
    <s v="Alice Smith"/>
    <n v="32"/>
    <s v="Female"/>
    <s v="American"/>
    <x v="0"/>
    <n v="400"/>
    <x v="1"/>
    <n v="700"/>
    <n v="400"/>
    <n v="700"/>
  </r>
  <r>
    <n v="68"/>
    <x v="4"/>
    <x v="44"/>
    <d v="2024-07-26T00:00:00"/>
    <n v="6"/>
    <s v="James Chen"/>
    <n v="25"/>
    <s v="Male"/>
    <s v="American"/>
    <x v="4"/>
    <n v="400"/>
    <x v="1"/>
    <n v="800"/>
    <n v="400"/>
    <n v="800"/>
  </r>
  <r>
    <n v="42"/>
    <x v="9"/>
    <x v="34"/>
    <d v="2023-07-08T00:00:00"/>
    <n v="7"/>
    <s v="John Smith"/>
    <n v="45"/>
    <s v="Male"/>
    <s v="American"/>
    <x v="6"/>
    <n v="400"/>
    <x v="1"/>
    <n v="800"/>
    <n v="400"/>
    <n v="800"/>
  </r>
  <r>
    <n v="61"/>
    <x v="16"/>
    <x v="45"/>
    <d v="2022-07-18T00:00:00"/>
    <n v="6"/>
    <s v="Rachel Sanders"/>
    <n v="35"/>
    <s v="Female"/>
    <s v="American"/>
    <x v="0"/>
    <n v="400"/>
    <x v="1"/>
    <n v="800"/>
    <n v="400"/>
    <n v="800"/>
  </r>
  <r>
    <n v="66"/>
    <x v="11"/>
    <x v="10"/>
    <d v="2024-02-08T00:00:00"/>
    <n v="7"/>
    <s v="Tom Wilson"/>
    <n v="27"/>
    <s v="Male"/>
    <s v="American"/>
    <x v="6"/>
    <n v="400"/>
    <x v="1"/>
    <n v="1000"/>
    <n v="400"/>
    <n v="1000"/>
  </r>
  <r>
    <n v="81"/>
    <x v="4"/>
    <x v="36"/>
    <d v="2024-08-27T00:00:00"/>
    <n v="7"/>
    <s v="Tom Hanks"/>
    <n v="60"/>
    <s v="Male"/>
    <s v="American"/>
    <x v="0"/>
    <n v="500"/>
    <x v="1"/>
    <s v="1000 USD"/>
    <n v="500"/>
    <n v="1000"/>
  </r>
  <r>
    <n v="84"/>
    <x v="11"/>
    <x v="46"/>
    <d v="2021-06-20T00:00:00"/>
    <n v="6"/>
    <s v="John Smith"/>
    <n v="35"/>
    <s v="Male"/>
    <s v="American"/>
    <x v="0"/>
    <n v="500"/>
    <x v="1"/>
    <s v="500 USD"/>
    <n v="500"/>
    <n v="500"/>
  </r>
  <r>
    <n v="22"/>
    <x v="9"/>
    <x v="47"/>
    <d v="2023-12-12T00:00:00"/>
    <n v="7"/>
    <s v="James Wilson"/>
    <n v="32"/>
    <s v="Male"/>
    <s v="Australian"/>
    <x v="0"/>
    <n v="600"/>
    <x v="1"/>
    <n v="600"/>
    <n v="600"/>
    <n v="600"/>
  </r>
  <r>
    <n v="64"/>
    <x v="9"/>
    <x v="48"/>
    <d v="2023-06-29T00:00:00"/>
    <n v="6"/>
    <s v="David Lee"/>
    <n v="43"/>
    <s v="Male"/>
    <s v="Australian"/>
    <x v="0"/>
    <n v="600"/>
    <x v="1"/>
    <n v="1200"/>
    <n v="600"/>
    <n v="1200"/>
  </r>
  <r>
    <n v="87"/>
    <x v="9"/>
    <x v="49"/>
    <d v="2021-09-10T00:00:00"/>
    <n v="9"/>
    <s v="David Lee"/>
    <n v="45"/>
    <s v="Male"/>
    <s v="Australian"/>
    <x v="0"/>
    <n v="600"/>
    <x v="1"/>
    <s v="600 USD"/>
    <n v="600"/>
    <n v="600"/>
  </r>
  <r>
    <n v="79"/>
    <x v="9"/>
    <x v="50"/>
    <d v="2024-02-12T00:00:00"/>
    <n v="7"/>
    <s v="David Lee"/>
    <n v="38"/>
    <s v="Male"/>
    <s v="Australian"/>
    <x v="0"/>
    <n v="600"/>
    <x v="1"/>
    <s v="600 USD"/>
    <n v="600"/>
    <n v="600"/>
  </r>
  <r>
    <n v="43"/>
    <x v="6"/>
    <x v="51"/>
    <d v="2022-11-27T00:00:00"/>
    <n v="7"/>
    <s v="Maria Silva"/>
    <n v="30"/>
    <s v="Female"/>
    <s v="Brazilian"/>
    <x v="0"/>
    <n v="700"/>
    <x v="1"/>
    <n v="700"/>
    <n v="700"/>
    <n v="700"/>
  </r>
  <r>
    <n v="35"/>
    <x v="17"/>
    <x v="52"/>
    <d v="2023-01-15T00:00:00"/>
    <n v="10"/>
    <s v="James Brown"/>
    <n v="42"/>
    <s v="Male"/>
    <s v="British"/>
    <x v="1"/>
    <n v="800"/>
    <x v="1"/>
    <n v="800"/>
    <n v="800"/>
    <n v="800"/>
  </r>
  <r>
    <n v="71"/>
    <x v="17"/>
    <x v="53"/>
    <d v="2025-05-29T00:00:00"/>
    <n v="8"/>
    <s v="Sarah Brown"/>
    <n v="37"/>
    <s v="Female"/>
    <s v="British"/>
    <x v="6"/>
    <n v="800"/>
    <x v="1"/>
    <n v="1000"/>
    <n v="800"/>
    <n v="1000"/>
  </r>
  <r>
    <n v="89"/>
    <x v="18"/>
    <x v="54"/>
    <d v="2021-11-30T00:00:00"/>
    <n v="11"/>
    <s v="James Wilson"/>
    <n v="29"/>
    <s v="Male"/>
    <s v="British"/>
    <x v="2"/>
    <n v="800"/>
    <x v="1"/>
    <s v="400 USD"/>
    <n v="800"/>
    <n v="400"/>
  </r>
  <r>
    <n v="76"/>
    <x v="18"/>
    <x v="55"/>
    <d v="2023-06-14T00:00:00"/>
    <n v="7"/>
    <s v="John Smith"/>
    <n v="46"/>
    <s v="Male"/>
    <s v="British"/>
    <x v="0"/>
    <n v="800"/>
    <x v="1"/>
    <s v="700 USD"/>
    <n v="800"/>
    <n v="700"/>
  </r>
  <r>
    <n v="82"/>
    <x v="7"/>
    <x v="56"/>
    <d v="2025-01-08T00:00:00"/>
    <n v="7"/>
    <s v="Emma Watson"/>
    <n v="32"/>
    <s v="Female"/>
    <s v="British"/>
    <x v="6"/>
    <n v="800"/>
    <x v="1"/>
    <s v="800 USD"/>
    <n v="800"/>
    <n v="800"/>
  </r>
  <r>
    <n v="116"/>
    <x v="6"/>
    <x v="57"/>
    <d v="2022-09-15T00:00:00"/>
    <n v="5"/>
    <s v="Alex Ng"/>
    <n v="33"/>
    <s v="Male"/>
    <s v="Cambodia"/>
    <x v="2"/>
    <n v="900"/>
    <x v="1"/>
    <n v="500"/>
    <n v="900"/>
    <n v="500"/>
  </r>
  <r>
    <n v="110"/>
    <x v="9"/>
    <x v="58"/>
    <d v="2022-07-10T00:00:00"/>
    <n v="9"/>
    <s v="David Kim"/>
    <n v="26"/>
    <s v="Male"/>
    <s v="Canadian"/>
    <x v="2"/>
    <n v="900"/>
    <x v="1"/>
    <n v="900"/>
    <n v="900"/>
    <n v="900"/>
  </r>
  <r>
    <n v="127"/>
    <x v="0"/>
    <x v="59"/>
    <d v="2023-02-18T00:00:00"/>
    <n v="8"/>
    <s v="Katie Johnson"/>
    <n v="33"/>
    <s v="Female"/>
    <s v="Canadian"/>
    <x v="0"/>
    <n v="900"/>
    <x v="1"/>
    <n v="800"/>
    <n v="900"/>
    <n v="800"/>
  </r>
  <r>
    <n v="18"/>
    <x v="6"/>
    <x v="4"/>
    <d v="2023-08-25T00:00:00"/>
    <n v="10"/>
    <s v="Michael Chang"/>
    <n v="28"/>
    <s v="Male"/>
    <s v="Chinese"/>
    <x v="6"/>
    <n v="1000"/>
    <x v="1"/>
    <n v="700"/>
    <n v="1000"/>
    <n v="700"/>
  </r>
  <r>
    <n v="41"/>
    <x v="4"/>
    <x v="60"/>
    <d v="2022-12-18T00:00:00"/>
    <n v="8"/>
    <s v="Sarah Wong"/>
    <n v="28"/>
    <s v="Female"/>
    <s v="Chinese"/>
    <x v="2"/>
    <n v="1000"/>
    <x v="1"/>
    <n v="900"/>
    <n v="1000"/>
    <n v="900"/>
  </r>
  <r>
    <n v="119"/>
    <x v="9"/>
    <x v="61"/>
    <d v="2022-05-12T00:00:00"/>
    <n v="11"/>
    <s v="Cindy Chen"/>
    <n v="26"/>
    <s v="Female"/>
    <s v="Chinese"/>
    <x v="1"/>
    <n v="1000"/>
    <x v="1"/>
    <n v="1000"/>
    <n v="1000"/>
    <n v="1000"/>
  </r>
  <r>
    <n v="125"/>
    <x v="9"/>
    <x v="62"/>
    <d v="2022-11-21T00:00:00"/>
    <n v="10"/>
    <s v="Isabella Chen"/>
    <n v="30"/>
    <s v="Female"/>
    <s v="Chinese"/>
    <x v="1"/>
    <n v="1000"/>
    <x v="1"/>
    <n v="1000"/>
    <n v="1000"/>
    <n v="1000"/>
  </r>
  <r>
    <n v="49"/>
    <x v="9"/>
    <x v="63"/>
    <d v="2023-06-28T00:00:00"/>
    <n v="8"/>
    <s v="Laura van den Berg"/>
    <n v="31"/>
    <s v="Female"/>
    <s v="Dutch"/>
    <x v="0"/>
    <n v="1100"/>
    <x v="1"/>
    <n v="700"/>
    <n v="1100"/>
    <n v="700"/>
  </r>
  <r>
    <n v="90"/>
    <x v="7"/>
    <x v="64"/>
    <d v="2022-01-08T00:00:00"/>
    <n v="8"/>
    <s v="Fatima Ahmed"/>
    <n v="24"/>
    <s v="Female"/>
    <s v="Emirati"/>
    <x v="0"/>
    <n v="1100"/>
    <x v="1"/>
    <s v="800 USD"/>
    <n v="1100"/>
    <n v="800"/>
  </r>
  <r>
    <n v="24"/>
    <x v="19"/>
    <x v="5"/>
    <d v="2023-09-23T00:00:00"/>
    <n v="8"/>
    <s v="Raj Patel"/>
    <n v="40"/>
    <s v="Male"/>
    <s v="Indian"/>
    <x v="2"/>
    <n v="1200"/>
    <x v="1"/>
    <n v="500"/>
    <n v="1200"/>
    <n v="500"/>
  </r>
  <r>
    <n v="69"/>
    <x v="19"/>
    <x v="65"/>
    <d v="2024-09-16T00:00:00"/>
    <n v="8"/>
    <s v="Lila Patel"/>
    <n v="33"/>
    <s v="Female"/>
    <s v="Indian"/>
    <x v="2"/>
    <n v="1200"/>
    <x v="1"/>
    <n v="700"/>
    <n v="1200"/>
    <n v="700"/>
  </r>
  <r>
    <n v="92"/>
    <x v="6"/>
    <x v="66"/>
    <d v="2022-03-20T00:00:00"/>
    <n v="11"/>
    <s v="Giulia Rossi"/>
    <n v="30"/>
    <s v="Female"/>
    <s v="Italian"/>
    <x v="2"/>
    <n v="1300"/>
    <x v="1"/>
    <s v="350 USD"/>
    <n v="1300"/>
    <n v="350"/>
  </r>
  <r>
    <n v="20"/>
    <x v="9"/>
    <x v="28"/>
    <d v="2023-10-15T00:00:00"/>
    <n v="10"/>
    <s v="Kenji Nakamura"/>
    <n v="45"/>
    <s v="Male"/>
    <s v="Japanese"/>
    <x v="0"/>
    <n v="1400"/>
    <x v="1"/>
    <n v="800"/>
    <n v="1400"/>
    <n v="800"/>
  </r>
  <r>
    <n v="124"/>
    <x v="7"/>
    <x v="67"/>
    <d v="2022-10-13T00:00:00"/>
    <n v="8"/>
    <s v="Henry Kim"/>
    <n v="24"/>
    <s v="Male"/>
    <s v="Korean"/>
    <x v="0"/>
    <n v="1500"/>
    <x v="1"/>
    <n v="700"/>
    <n v="1500"/>
    <n v="700"/>
  </r>
  <r>
    <n v="121"/>
    <x v="0"/>
    <x v="68"/>
    <d v="2022-07-30T00:00:00"/>
    <n v="10"/>
    <s v="Emily Kim"/>
    <n v="29"/>
    <s v="Female"/>
    <s v="Korean"/>
    <x v="2"/>
    <n v="1800"/>
    <x v="1"/>
    <n v="800"/>
    <n v="1800"/>
    <n v="800"/>
  </r>
  <r>
    <n v="26"/>
    <x v="4"/>
    <x v="11"/>
    <d v="2023-08-10T00:00:00"/>
    <n v="9"/>
    <s v="David Kim"/>
    <n v="34"/>
    <s v="Male"/>
    <s v="Korean"/>
    <x v="6"/>
    <n v="2000"/>
    <x v="1"/>
    <n v="800"/>
    <n v="2000"/>
    <n v="800"/>
  </r>
  <r>
    <n v="123"/>
    <x v="0"/>
    <x v="69"/>
    <d v="2022-09-30T00:00:00"/>
    <n v="10"/>
    <s v="Gina Lee"/>
    <n v="35"/>
    <s v="Female"/>
    <s v="Korean"/>
    <x v="1"/>
    <n v="2000"/>
    <x v="1"/>
    <n v="900"/>
    <n v="2000"/>
    <n v="900"/>
  </r>
  <r>
    <n v="80"/>
    <x v="19"/>
    <x v="70"/>
    <d v="2024-05-22T00:00:00"/>
    <n v="7"/>
    <s v="Nana Kwon"/>
    <n v="27"/>
    <s v="Female"/>
    <s v="Korean"/>
    <x v="0"/>
    <n v="2200"/>
    <x v="1"/>
    <s v="400 USD"/>
    <n v="2200"/>
    <n v="400"/>
  </r>
  <r>
    <n v="75"/>
    <x v="9"/>
    <x v="71"/>
    <d v="2023-04-22T00:00:00"/>
    <n v="7"/>
    <s v="Maria Hernandez"/>
    <n v="42"/>
    <s v="Female"/>
    <s v="Mexican"/>
    <x v="6"/>
    <n v="2500"/>
    <x v="1"/>
    <s v="500 USD"/>
    <n v="2500"/>
    <n v="500"/>
  </r>
  <r>
    <n v="112"/>
    <x v="7"/>
    <x v="8"/>
    <d v="2022-09-12T00:00:00"/>
    <n v="7"/>
    <s v="Mark Tan"/>
    <n v="45"/>
    <s v="Male"/>
    <s v="Singapore"/>
    <x v="5"/>
    <n v="5000"/>
    <x v="1"/>
    <n v="700"/>
    <n v="5000"/>
    <n v="700"/>
  </r>
  <r>
    <n v="104"/>
    <x v="15"/>
    <x v="72"/>
    <d v="2024-07-28T00:00:00"/>
    <n v="6"/>
    <s v="Olivia Kim"/>
    <n v="29"/>
    <s v="Female"/>
    <s v="German"/>
    <x v="5"/>
    <n v="7000"/>
    <x v="1"/>
    <n v="1000"/>
    <n v="7000"/>
    <n v="1000"/>
  </r>
  <r>
    <n v="97"/>
    <x v="9"/>
    <x v="73"/>
    <d v="2022-12-02T00:00:00"/>
    <n v="9"/>
    <s v="David Lee"/>
    <n v="45"/>
    <s v="Male"/>
    <s v="German"/>
    <x v="2"/>
    <n v="7000"/>
    <x v="1"/>
    <n v="1200"/>
    <n v="7000"/>
    <n v="1200"/>
  </r>
  <r>
    <n v="73"/>
    <x v="0"/>
    <x v="74"/>
    <d v="2022-08-12T00:00:00"/>
    <n v="7"/>
    <s v="Sarah Lee"/>
    <n v="35"/>
    <s v="Female"/>
    <s v="German"/>
    <x v="6"/>
    <s v="1000 USD"/>
    <x v="1"/>
    <s v="800 USD"/>
    <n v="1000"/>
    <n v="800"/>
  </r>
  <r>
    <n v="102"/>
    <x v="4"/>
    <x v="75"/>
    <d v="2024-01-14T00:00:00"/>
    <n v="8"/>
    <s v="Maria Garcia"/>
    <n v="27"/>
    <s v="Female"/>
    <s v="Italian"/>
    <x v="1"/>
    <s v="1200 USD"/>
    <x v="1"/>
    <n v="1500"/>
    <n v="1200"/>
    <n v="1500"/>
  </r>
  <r>
    <n v="45"/>
    <x v="2"/>
    <x v="76"/>
    <d v="2023-08-25T00:00:00"/>
    <n v="7"/>
    <s v="Emma Garcia"/>
    <n v="27"/>
    <s v="Female"/>
    <s v="Spanish"/>
    <x v="2"/>
    <s v="200 USD"/>
    <x v="1"/>
    <n v="600"/>
    <n v="200"/>
    <n v="600"/>
  </r>
  <r>
    <n v="65"/>
    <x v="0"/>
    <x v="76"/>
    <d v="2023-08-25T00:00:00"/>
    <n v="7"/>
    <s v="Ana Rodriguez"/>
    <n v="31"/>
    <s v="Female"/>
    <s v="Spanish"/>
    <x v="4"/>
    <s v="300 USD"/>
    <x v="1"/>
    <n v="700"/>
    <n v="300"/>
    <n v="700"/>
  </r>
  <r>
    <n v="86"/>
    <x v="11"/>
    <x v="77"/>
    <d v="2021-08-20T00:00:00"/>
    <n v="11"/>
    <s v="Maria Garcia"/>
    <n v="42"/>
    <s v="Female"/>
    <s v="Spanish"/>
    <x v="6"/>
    <s v="400 USD"/>
    <x v="1"/>
    <s v="700 USD"/>
    <n v="400"/>
    <n v="700"/>
  </r>
  <r>
    <n v="100"/>
    <x v="2"/>
    <x v="78"/>
    <d v="2023-08-27T00:00:00"/>
    <n v="7"/>
    <s v="Jessica Chen"/>
    <n v="31"/>
    <s v="Female"/>
    <s v="New Zealander"/>
    <x v="0"/>
    <s v="400 USD"/>
    <x v="1"/>
    <n v="900"/>
    <n v="400"/>
    <n v="900"/>
  </r>
  <r>
    <n v="109"/>
    <x v="20"/>
    <x v="79"/>
    <d v="2022-08-20T00:00:00"/>
    <n v="8"/>
    <s v="Lisa Chen"/>
    <n v="30"/>
    <s v="Female"/>
    <s v="New Zealander"/>
    <x v="6"/>
    <s v="500 USD"/>
    <x v="1"/>
    <n v="1200"/>
    <n v="500"/>
    <n v="1200"/>
  </r>
  <r>
    <n v="78"/>
    <x v="0"/>
    <x v="80"/>
    <d v="2023-11-19T00:00:00"/>
    <n v="7"/>
    <s v="Amanda Chen"/>
    <n v="25"/>
    <s v="Female"/>
    <s v="Taiwanese"/>
    <x v="6"/>
    <s v="500 USD"/>
    <x v="1"/>
    <s v="700 USD"/>
    <n v="500"/>
    <n v="700"/>
  </r>
  <r>
    <n v="98"/>
    <x v="0"/>
    <x v="81"/>
    <d v="2023-02-19T00:00:00"/>
    <n v="5"/>
    <s v="Sarah Brown"/>
    <n v="37"/>
    <s v="Female"/>
    <s v="Emirati"/>
    <x v="0"/>
    <s v="600 USD"/>
    <x v="1"/>
    <n v="700"/>
    <n v="600"/>
    <n v="700"/>
  </r>
  <r>
    <n v="95"/>
    <x v="10"/>
    <x v="82"/>
    <d v="2022-06-20T00:00:00"/>
    <n v="5"/>
    <s v="John Smith"/>
    <n v="35"/>
    <s v="Male"/>
    <s v="Spanish"/>
    <x v="0"/>
    <s v="800 USD"/>
    <x v="1"/>
    <n v="800"/>
    <n v="800"/>
    <n v="800"/>
  </r>
  <r>
    <n v="106"/>
    <x v="10"/>
    <x v="83"/>
    <d v="2022-05-20T00:00:00"/>
    <n v="5"/>
    <s v="John Smith"/>
    <n v="35"/>
    <s v="Male"/>
    <s v="American"/>
    <x v="0"/>
    <s v="800 USD"/>
    <x v="1"/>
    <n v="800"/>
    <n v="800"/>
    <n v="800"/>
  </r>
  <r>
    <n v="58"/>
    <x v="2"/>
    <x v="84"/>
    <d v="2024-05-18T00:00:00"/>
    <n v="8"/>
    <s v="Park Min Woo"/>
    <n v="27"/>
    <s v="Male"/>
    <s v="German"/>
    <x v="2"/>
    <n v="8000"/>
    <x v="6"/>
    <n v="20"/>
    <n v="8000"/>
    <n v="20"/>
  </r>
  <r>
    <n v="36"/>
    <x v="0"/>
    <x v="81"/>
    <d v="2023-02-20T00:00:00"/>
    <n v="6"/>
    <s v="Mia Johnson"/>
    <n v="31"/>
    <s v="Female"/>
    <s v="American"/>
    <x v="2"/>
    <n v="180"/>
    <x v="7"/>
    <n v="120"/>
    <n v="180"/>
    <n v="120"/>
  </r>
  <r>
    <n v="74"/>
    <x v="6"/>
    <x v="85"/>
    <d v="2023-01-09T00:00:00"/>
    <n v="8"/>
    <s v="Alex Kim"/>
    <n v="29"/>
    <s v="Male"/>
    <s v="American"/>
    <x v="0"/>
    <n v="500"/>
    <x v="7"/>
    <s v="200 USD"/>
    <n v="500"/>
    <n v="200"/>
  </r>
  <r>
    <n v="54"/>
    <x v="6"/>
    <x v="86"/>
    <d v="2024-01-24T00:00:00"/>
    <n v="9"/>
    <s v="Felipe Almeida"/>
    <n v="30"/>
    <s v="Male"/>
    <s v="Brazilian"/>
    <x v="1"/>
    <n v="700"/>
    <x v="7"/>
    <n v="150"/>
    <n v="700"/>
    <n v="150"/>
  </r>
  <r>
    <n v="44"/>
    <x v="12"/>
    <x v="87"/>
    <d v="2023-03-12T00:00:00"/>
    <n v="7"/>
    <s v="Peter Brown"/>
    <n v="55"/>
    <s v="Male"/>
    <s v="British"/>
    <x v="1"/>
    <n v="700"/>
    <x v="7"/>
    <n v="100"/>
    <n v="700"/>
    <n v="100"/>
  </r>
  <r>
    <n v="19"/>
    <x v="10"/>
    <x v="88"/>
    <d v="2023-07-28T00:00:00"/>
    <n v="6"/>
    <s v="Olivia Rodriguez"/>
    <n v="35"/>
    <s v="Female"/>
    <s v="British"/>
    <x v="0"/>
    <n v="800"/>
    <x v="7"/>
    <n v="150"/>
    <n v="800"/>
    <n v="150"/>
  </r>
  <r>
    <n v="56"/>
    <x v="12"/>
    <x v="89"/>
    <d v="2024-03-23T00:00:00"/>
    <n v="8"/>
    <s v="Ben Smith"/>
    <n v="35"/>
    <s v="Male"/>
    <s v="British"/>
    <x v="0"/>
    <n v="800"/>
    <x v="7"/>
    <n v="200"/>
    <n v="800"/>
    <n v="200"/>
  </r>
  <r>
    <n v="130"/>
    <x v="2"/>
    <x v="90"/>
    <d v="2023-05-22T00:00:00"/>
    <n v="7"/>
    <s v="Jane Smith"/>
    <n v="28"/>
    <s v="Female"/>
    <s v="British"/>
    <x v="1"/>
    <n v="800"/>
    <x v="7"/>
    <n v="1500"/>
    <n v="800"/>
    <n v="1500"/>
  </r>
  <r>
    <n v="96"/>
    <x v="2"/>
    <x v="91"/>
    <d v="2022-09-10T00:00:00"/>
    <n v="9"/>
    <s v="Emily Johnson"/>
    <n v="28"/>
    <s v="Female"/>
    <s v="Canadian"/>
    <x v="1"/>
    <n v="900"/>
    <x v="7"/>
    <n v="200"/>
    <n v="900"/>
    <n v="200"/>
  </r>
  <r>
    <n v="34"/>
    <x v="2"/>
    <x v="92"/>
    <d v="2022-11-15T00:00:00"/>
    <n v="7"/>
    <s v="Sophia Lee"/>
    <n v="37"/>
    <s v="Female"/>
    <s v="Canadian"/>
    <x v="0"/>
    <n v="900"/>
    <x v="7"/>
    <n v="100"/>
    <n v="900"/>
    <n v="100"/>
  </r>
  <r>
    <n v="40"/>
    <x v="9"/>
    <x v="93"/>
    <d v="2023-01-09T00:00:00"/>
    <n v="7"/>
    <s v="Adam Lee"/>
    <n v="33"/>
    <s v="Male"/>
    <s v="Canadian"/>
    <x v="1"/>
    <n v="900"/>
    <x v="7"/>
    <n v="150"/>
    <n v="900"/>
    <n v="150"/>
  </r>
  <r>
    <n v="29"/>
    <x v="12"/>
    <x v="82"/>
    <d v="2022-06-22T00:00:00"/>
    <n v="7"/>
    <s v="Bob Johnson"/>
    <n v="45"/>
    <s v="Male"/>
    <s v="Canadian"/>
    <x v="2"/>
    <n v="900"/>
    <x v="7"/>
    <n v="150"/>
    <n v="900"/>
    <n v="150"/>
  </r>
  <r>
    <n v="50"/>
    <x v="4"/>
    <x v="4"/>
    <d v="2023-08-22T00:00:00"/>
    <n v="7"/>
    <s v="Jennifer Nguyen"/>
    <n v="31"/>
    <s v="Female"/>
    <s v="Canadian"/>
    <x v="0"/>
    <n v="900"/>
    <x v="7"/>
    <n v="300"/>
    <n v="900"/>
    <n v="300"/>
  </r>
  <r>
    <n v="118"/>
    <x v="4"/>
    <x v="94"/>
    <d v="2022-03-22T00:00:00"/>
    <n v="7"/>
    <s v="Bob Johnson"/>
    <n v="47"/>
    <s v="Male"/>
    <s v="Canadian"/>
    <x v="0"/>
    <n v="900"/>
    <x v="7"/>
    <n v="500"/>
    <n v="900"/>
    <n v="500"/>
  </r>
  <r>
    <n v="137"/>
    <x v="21"/>
    <x v="13"/>
    <d v="2023-09-08T00:00:00"/>
    <n v="7"/>
    <s v="Ryan Chen"/>
    <n v="34"/>
    <s v="Male"/>
    <s v="Chinese"/>
    <x v="2"/>
    <n v="1000"/>
    <x v="7"/>
    <n v="1000"/>
    <n v="1000"/>
    <n v="1000"/>
  </r>
  <r>
    <n v="9"/>
    <x v="2"/>
    <x v="95"/>
    <d v="2024-02-21T00:00:00"/>
    <n v="7"/>
    <s v="Laura Janssen"/>
    <n v="31"/>
    <s v="Female"/>
    <s v="Dutch"/>
    <x v="0"/>
    <n v="1100"/>
    <x v="7"/>
    <n v="200"/>
    <n v="1100"/>
    <n v="200"/>
  </r>
  <r>
    <n v="67"/>
    <x v="22"/>
    <x v="96"/>
    <d v="2024-05-12T00:00:00"/>
    <n v="6"/>
    <s v="Olivia Green"/>
    <n v="39"/>
    <s v="Female"/>
    <s v="French"/>
    <x v="0"/>
    <n v="1200"/>
    <x v="7"/>
    <n v="200"/>
    <n v="1200"/>
    <n v="200"/>
  </r>
  <r>
    <n v="105"/>
    <x v="9"/>
    <x v="97"/>
    <d v="2024-10-17T00:00:00"/>
    <n v="7"/>
    <s v="Robert Mueller"/>
    <n v="41"/>
    <s v="Male"/>
    <s v="German"/>
    <x v="0"/>
    <n v="1200"/>
    <x v="7"/>
    <n v="150"/>
    <n v="1200"/>
    <n v="150"/>
  </r>
  <r>
    <n v="23"/>
    <x v="2"/>
    <x v="98"/>
    <d v="2023-11-08T00:00:00"/>
    <n v="7"/>
    <s v="Sofia Russo"/>
    <n v="29"/>
    <s v="Female"/>
    <s v="Italian"/>
    <x v="1"/>
    <n v="1200"/>
    <x v="7"/>
    <n v="80"/>
    <n v="1200"/>
    <n v="80"/>
  </r>
  <r>
    <n v="70"/>
    <x v="6"/>
    <x v="99"/>
    <d v="2025-02-20T00:00:00"/>
    <n v="6"/>
    <s v="Marco Rossi"/>
    <n v="41"/>
    <s v="Male"/>
    <s v="Italian"/>
    <x v="0"/>
    <n v="1200"/>
    <x v="7"/>
    <n v="100"/>
    <n v="1200"/>
    <n v="100"/>
  </r>
  <r>
    <n v="60"/>
    <x v="10"/>
    <x v="100"/>
    <d v="2024-07-23T00:00:00"/>
    <n v="8"/>
    <s v="Sofia Rossi"/>
    <n v="33"/>
    <s v="Female"/>
    <s v="Italian"/>
    <x v="1"/>
    <n v="1300"/>
    <x v="7"/>
    <n v="100"/>
    <n v="1300"/>
    <n v="100"/>
  </r>
  <r>
    <n v="113"/>
    <x v="6"/>
    <x v="61"/>
    <d v="2022-05-08T00:00:00"/>
    <n v="7"/>
    <s v="Emma Lee"/>
    <n v="31"/>
    <s v="Female"/>
    <s v="Korean"/>
    <x v="0"/>
    <n v="1400"/>
    <x v="7"/>
    <n v="250"/>
    <n v="1400"/>
    <n v="250"/>
  </r>
  <r>
    <n v="101"/>
    <x v="19"/>
    <x v="80"/>
    <d v="2023-11-20T00:00:00"/>
    <n v="8"/>
    <s v="Ken Tanaka"/>
    <n v="42"/>
    <s v="Male"/>
    <s v="Italian"/>
    <x v="2"/>
    <n v="1400"/>
    <x v="7"/>
    <n v="100"/>
    <n v="1400"/>
    <n v="100"/>
  </r>
  <r>
    <n v="62"/>
    <x v="2"/>
    <x v="101"/>
    <d v="2022-09-10T00:00:00"/>
    <n v="7"/>
    <s v="Kenji Nakamura"/>
    <n v="28"/>
    <s v="Male"/>
    <s v="Japanese"/>
    <x v="2"/>
    <n v="1400"/>
    <x v="7"/>
    <n v="300"/>
    <n v="1400"/>
    <n v="300"/>
  </r>
  <r>
    <n v="48"/>
    <x v="6"/>
    <x v="102"/>
    <d v="2022-07-17T00:00:00"/>
    <n v="7"/>
    <s v="Kevin Kim"/>
    <n v="24"/>
    <s v="Male"/>
    <s v="Korean"/>
    <x v="2"/>
    <n v="1500"/>
    <x v="7"/>
    <n v="150"/>
    <n v="1500"/>
    <n v="150"/>
  </r>
  <r>
    <n v="120"/>
    <x v="10"/>
    <x v="103"/>
    <d v="2022-06-17T00:00:00"/>
    <n v="7"/>
    <s v="David Lee"/>
    <n v="38"/>
    <s v="Male"/>
    <s v="Korean"/>
    <x v="0"/>
    <n v="1500"/>
    <x v="7"/>
    <n v="400"/>
    <n v="1500"/>
    <n v="400"/>
  </r>
  <r>
    <n v="133"/>
    <x v="10"/>
    <x v="34"/>
    <d v="2023-07-08T00:00:00"/>
    <n v="7"/>
    <s v="David Kim"/>
    <n v="42"/>
    <s v="Male"/>
    <s v="Korean"/>
    <x v="1"/>
    <n v="2000"/>
    <x v="7"/>
    <n v="1500"/>
    <n v="2000"/>
    <n v="1500"/>
  </r>
  <r>
    <n v="94"/>
    <x v="9"/>
    <x v="61"/>
    <d v="2022-05-10T00:00:00"/>
    <n v="10"/>
    <s v="Kim Min-ji"/>
    <n v="27"/>
    <s v="Female"/>
    <s v="Korean"/>
    <x v="0"/>
    <n v="2000"/>
    <x v="7"/>
    <s v="150 USD"/>
    <n v="2000"/>
    <n v="150"/>
  </r>
  <r>
    <n v="85"/>
    <x v="2"/>
    <x v="104"/>
    <d v="2021-07-10T00:00:00"/>
    <n v="10"/>
    <s v="Sarah Lee"/>
    <n v="28"/>
    <s v="Female"/>
    <s v="Korean"/>
    <x v="1"/>
    <n v="2200"/>
    <x v="7"/>
    <s v="300 USD"/>
    <n v="2200"/>
    <n v="300"/>
  </r>
  <r>
    <n v="139"/>
    <x v="2"/>
    <x v="105"/>
    <d v="2023-10-08T00:00:00"/>
    <n v="7"/>
    <s v="William Brown"/>
    <n v="39"/>
    <s v="Male"/>
    <s v="New Zealander"/>
    <x v="0"/>
    <n v="3000"/>
    <x v="7"/>
    <n v="2500"/>
    <n v="3000"/>
    <n v="2500"/>
  </r>
  <r>
    <n v="16"/>
    <x v="2"/>
    <x v="106"/>
    <d v="2024-09-12T00:00:00"/>
    <n v="7"/>
    <s v="James MacKenzie"/>
    <n v="32"/>
    <s v="Male"/>
    <s v="Scottish"/>
    <x v="0"/>
    <n v="4000"/>
    <x v="7"/>
    <n v="150"/>
    <n v="4000"/>
    <n v="150"/>
  </r>
  <r>
    <n v="107"/>
    <x v="9"/>
    <x v="91"/>
    <d v="2022-09-10T00:00:00"/>
    <n v="9"/>
    <s v="Sarah Lee"/>
    <n v="28"/>
    <s v="Female"/>
    <s v="French"/>
    <x v="1"/>
    <n v="6000"/>
    <x v="7"/>
    <n v="500"/>
    <n v="6000"/>
    <n v="500"/>
  </r>
  <r>
    <n v="12"/>
    <x v="3"/>
    <x v="70"/>
    <d v="2024-05-22T00:00:00"/>
    <n v="7"/>
    <s v="Carlos Garcia"/>
    <n v="36"/>
    <s v="Male"/>
    <s v="Spanish"/>
    <x v="1"/>
    <s v="1200 USD"/>
    <x v="7"/>
    <n v="100"/>
    <n v="1200"/>
    <n v="100"/>
  </r>
  <r>
    <n v="27"/>
    <x v="0"/>
    <x v="107"/>
    <d v="2023-10-28T00:00:00"/>
    <n v="8"/>
    <s v="Maria Garcia"/>
    <n v="31"/>
    <s v="Female"/>
    <s v="Spanish"/>
    <x v="0"/>
    <s v="1500 USD"/>
    <x v="7"/>
    <n v="150"/>
    <n v="1500"/>
    <n v="150"/>
  </r>
  <r>
    <n v="111"/>
    <x v="12"/>
    <x v="103"/>
    <d v="2022-06-15T00:00:00"/>
    <n v="5"/>
    <s v="Emily Wong"/>
    <n v="38"/>
    <s v="Female"/>
    <s v="United Kingdom"/>
    <x v="0"/>
    <s v="700 USD"/>
    <x v="7"/>
    <n v="150"/>
    <n v="700"/>
    <n v="150"/>
  </r>
  <r>
    <n v="25"/>
    <x v="6"/>
    <x v="108"/>
    <d v="2023-12-28T00:00:00"/>
    <n v="6"/>
    <s v="Lily Nguyen"/>
    <n v="24"/>
    <s v="Female"/>
    <s v="Vietnamese"/>
    <x v="0"/>
    <s v="800 USD"/>
    <x v="7"/>
    <n v="100"/>
    <n v="800"/>
    <n v="100"/>
  </r>
  <r>
    <n v="5"/>
    <x v="15"/>
    <x v="109"/>
    <d v="2023-09-17T00:00:00"/>
    <n v="7"/>
    <s v="Kim Nguyen"/>
    <n v="26"/>
    <s v="Female"/>
    <s v="Vietnamese"/>
    <x v="1"/>
    <s v="900 USD"/>
    <x v="7"/>
    <n v="200"/>
    <n v="900"/>
    <n v="200"/>
  </r>
  <r>
    <n v="91"/>
    <x v="19"/>
    <x v="110"/>
    <d v="2022-02-20T00:00:00"/>
    <n v="7"/>
    <s v="Liam Nguyen"/>
    <n v="26"/>
    <s v="Male"/>
    <s v="Vietnamese"/>
    <x v="1"/>
    <s v="900 USD"/>
    <x v="7"/>
    <s v="100 USD"/>
    <n v="900"/>
    <n v="100"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  <r>
    <m/>
    <x v="23"/>
    <x v="111"/>
    <m/>
    <m/>
    <m/>
    <m/>
    <m/>
    <m/>
    <x v="8"/>
    <m/>
    <x v="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D3F75-C1C4-D740-A611-9F34780F9173}" name="PivotTable13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99:B123" firstHeaderRow="1" firstDataRow="1" firstDataCol="1"/>
  <pivotFields count="17">
    <pivotField showAll="0"/>
    <pivotField axis="axisRow" dataField="1" showAll="0">
      <items count="25">
        <item x="9"/>
        <item x="6"/>
        <item x="13"/>
        <item x="1"/>
        <item x="18"/>
        <item x="0"/>
        <item x="5"/>
        <item x="15"/>
        <item x="14"/>
        <item x="19"/>
        <item x="2"/>
        <item x="3"/>
        <item x="21"/>
        <item x="10"/>
        <item x="22"/>
        <item x="16"/>
        <item x="20"/>
        <item x="17"/>
        <item x="11"/>
        <item x="12"/>
        <item x="4"/>
        <item x="8"/>
        <item x="7"/>
        <item h="1"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Count of Destination" fld="1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C424CE-0F80-884C-9B52-E047CDC4F333}" name="PivotTable1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72:I97" firstHeaderRow="1" firstDataRow="2" firstDataCol="1"/>
  <pivotFields count="17">
    <pivotField showAll="0"/>
    <pivotField axis="axisRow" showAll="0">
      <items count="25">
        <item x="9"/>
        <item x="6"/>
        <item x="13"/>
        <item x="1"/>
        <item x="18"/>
        <item x="0"/>
        <item x="5"/>
        <item x="15"/>
        <item x="14"/>
        <item x="19"/>
        <item x="2"/>
        <item x="3"/>
        <item x="21"/>
        <item x="10"/>
        <item x="22"/>
        <item x="16"/>
        <item x="20"/>
        <item x="17"/>
        <item x="11"/>
        <item x="12"/>
        <item x="4"/>
        <item x="8"/>
        <item x="7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2">
        <item h="1" x="0"/>
        <item x="1"/>
        <item x="2"/>
        <item x="3"/>
        <item x="4"/>
        <item x="5"/>
        <item m="1" x="9"/>
        <item m="1" x="10"/>
        <item x="6"/>
        <item x="7"/>
        <item h="1" x="8"/>
        <item t="default"/>
      </items>
    </pivotField>
    <pivotField showAll="0"/>
    <pivotField showAll="0"/>
    <pivotField dataField="1" showAll="0"/>
    <pivotField showAll="0" defaultSubtotal="0"/>
    <pivotField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1"/>
  </colFields>
  <colItems count="8">
    <i>
      <x v="1"/>
    </i>
    <i>
      <x v="2"/>
    </i>
    <i>
      <x v="3"/>
    </i>
    <i>
      <x v="4"/>
    </i>
    <i>
      <x v="5"/>
    </i>
    <i>
      <x v="8"/>
    </i>
    <i>
      <x v="9"/>
    </i>
    <i t="grand">
      <x/>
    </i>
  </colItems>
  <dataFields count="1">
    <dataField name="Average of Transportation cost(updated)" fld="14" subtotal="average" baseField="0" baseItem="0"/>
  </dataFields>
  <chartFormats count="20">
    <chartFormat chart="0" format="46" series="1">
      <pivotArea type="data" outline="0" fieldPosition="0">
        <references count="1">
          <reference field="11" count="1" selected="0">
            <x v="1"/>
          </reference>
        </references>
      </pivotArea>
    </chartFormat>
    <chartFormat chart="0" format="47" series="1">
      <pivotArea type="data" outline="0" fieldPosition="0">
        <references count="1">
          <reference field="11" count="1" selected="0">
            <x v="2"/>
          </reference>
        </references>
      </pivotArea>
    </chartFormat>
    <chartFormat chart="0" format="48" series="1">
      <pivotArea type="data" outline="0" fieldPosition="0">
        <references count="1">
          <reference field="11" count="1" selected="0">
            <x v="3"/>
          </reference>
        </references>
      </pivotArea>
    </chartFormat>
    <chartFormat chart="0" format="49" series="1">
      <pivotArea type="data" outline="0" fieldPosition="0">
        <references count="1">
          <reference field="11" count="1" selected="0">
            <x v="4"/>
          </reference>
        </references>
      </pivotArea>
    </chartFormat>
    <chartFormat chart="0" format="50" series="1">
      <pivotArea type="data" outline="0" fieldPosition="0">
        <references count="1">
          <reference field="11" count="1" selected="0">
            <x v="5"/>
          </reference>
        </references>
      </pivotArea>
    </chartFormat>
    <chartFormat chart="0" format="51" series="1">
      <pivotArea type="data" outline="0" fieldPosition="0">
        <references count="1">
          <reference field="11" count="1" selected="0">
            <x v="6"/>
          </reference>
        </references>
      </pivotArea>
    </chartFormat>
    <chartFormat chart="0" format="52" series="1">
      <pivotArea type="data" outline="0" fieldPosition="0">
        <references count="1">
          <reference field="11" count="1" selected="0">
            <x v="7"/>
          </reference>
        </references>
      </pivotArea>
    </chartFormat>
    <chartFormat chart="0" format="53" series="1">
      <pivotArea type="data" outline="0" fieldPosition="0">
        <references count="1">
          <reference field="11" count="1" selected="0">
            <x v="8"/>
          </reference>
        </references>
      </pivotArea>
    </chartFormat>
    <chartFormat chart="0" format="54" series="1">
      <pivotArea type="data" outline="0" fieldPosition="0">
        <references count="1">
          <reference field="11" count="1" selected="0">
            <x v="9"/>
          </reference>
        </references>
      </pivotArea>
    </chartFormat>
    <chartFormat chart="0" format="55" series="1">
      <pivotArea type="data" outline="0" fieldPosition="0">
        <references count="1">
          <reference field="11" count="1" selected="0">
            <x v="0"/>
          </reference>
        </references>
      </pivotArea>
    </chartFormat>
    <chartFormat chart="0" format="1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4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5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6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7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8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9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34EDF-8911-8446-B5BD-EB7F206CC03C}" name="PivotTable10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6:H61" firstHeaderRow="1" firstDataRow="2" firstDataCol="1"/>
  <pivotFields count="17">
    <pivotField showAll="0"/>
    <pivotField axis="axisCol" showAll="0" measureFilter="1">
      <items count="25">
        <item x="9"/>
        <item x="6"/>
        <item x="13"/>
        <item x="1"/>
        <item x="18"/>
        <item x="0"/>
        <item x="5"/>
        <item x="15"/>
        <item x="14"/>
        <item x="19"/>
        <item x="2"/>
        <item x="3"/>
        <item x="21"/>
        <item x="10"/>
        <item x="22"/>
        <item x="16"/>
        <item x="20"/>
        <item x="17"/>
        <item x="11"/>
        <item x="12"/>
        <item x="4"/>
        <item x="8"/>
        <item x="7"/>
        <item x="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measureFilter="1">
      <items count="12">
        <item x="0"/>
        <item x="1"/>
        <item x="2"/>
        <item x="3"/>
        <item x="4"/>
        <item x="5"/>
        <item m="1" x="9"/>
        <item m="1" x="10"/>
        <item x="6"/>
        <item x="7"/>
        <item x="8"/>
        <item t="default"/>
      </items>
    </pivotField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 v="1"/>
    </i>
    <i>
      <x v="4"/>
    </i>
    <i>
      <x v="9"/>
    </i>
    <i t="grand">
      <x/>
    </i>
  </rowItems>
  <colFields count="1">
    <field x="1"/>
  </colFields>
  <colItems count="7">
    <i>
      <x/>
    </i>
    <i>
      <x v="1"/>
    </i>
    <i>
      <x v="5"/>
    </i>
    <i>
      <x v="10"/>
    </i>
    <i>
      <x v="13"/>
    </i>
    <i>
      <x v="20"/>
    </i>
    <i t="grand">
      <x/>
    </i>
  </colItems>
  <dataFields count="1">
    <dataField name="Count of Transportation type" fld="11" subtotal="count" baseField="0" baseItem="0"/>
  </dataFields>
  <chartFormats count="24">
    <chartFormat chart="0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1" type="valueGreaterThan" evalOrder="-1" id="6" iMeasureFld="0">
      <autoFilter ref="A1">
        <filterColumn colId="0">
          <customFilters>
            <customFilter operator="greaterThan" val="12"/>
          </customFilters>
        </filterColumn>
      </autoFilter>
    </filter>
    <filter fld="1" type="valueGreaterThan" evalOrder="-1" id="12" iMeasureFld="0">
      <autoFilter ref="A1">
        <filterColumn colId="0">
          <customFilters>
            <customFilter operator="greaterThan" val="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2FA41-C22F-BE49-9495-F5F1F58E696F}" name="PivotTable7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1:C54" firstHeaderRow="0" firstDataRow="1" firstDataCol="1"/>
  <pivotFields count="17"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Accomodation cost(updated)" fld="13" subtotal="average" baseField="0" baseItem="0"/>
    <dataField name="Average of Transportation cost(updated)" fld="14" subtotal="average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2B6C7E-882C-2D47-AD26-3EDB6CC6B1CA}" name="PivotTable6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7:B34" firstHeaderRow="1" firstDataRow="1" firstDataCol="1"/>
  <pivotFields count="17">
    <pivotField showAll="0"/>
    <pivotField showAll="0"/>
    <pivotField showAll="0"/>
    <pivotField showAll="0"/>
    <pivotField showAll="0"/>
    <pivotField showAll="0"/>
    <pivotField showAll="0" avgSubtotal="1"/>
    <pivotField showAll="0"/>
    <pivotField showAll="0"/>
    <pivotField axis="axisRow" showAll="0">
      <items count="10">
        <item x="1"/>
        <item h="1" x="3"/>
        <item x="2"/>
        <item x="0"/>
        <item x="6"/>
        <item h="1" x="7"/>
        <item x="4"/>
        <item x="5"/>
        <item h="1" x="8"/>
        <item t="default"/>
      </items>
    </pivotField>
    <pivotField showAll="0"/>
    <pivotField showAll="0"/>
    <pivotField showAll="0"/>
    <pivotField dataField="1" showAll="0"/>
    <pivotField showAll="0"/>
    <pivotField showAll="0" defaultSubtotal="0"/>
    <pivotField showAll="0" defaultSubtotal="0"/>
  </pivotFields>
  <rowFields count="1">
    <field x="9"/>
  </rowFields>
  <rowItems count="7">
    <i>
      <x/>
    </i>
    <i>
      <x v="2"/>
    </i>
    <i>
      <x v="3"/>
    </i>
    <i>
      <x v="4"/>
    </i>
    <i>
      <x v="6"/>
    </i>
    <i>
      <x v="7"/>
    </i>
    <i t="grand">
      <x/>
    </i>
  </rowItems>
  <colItems count="1">
    <i/>
  </colItems>
  <dataFields count="1">
    <dataField name="Average of Accomodation cost(updated)" fld="13" subtotal="average" baseField="0" baseItem="0" numFmtId="44"/>
  </dataFields>
  <formats count="1">
    <format dxfId="0">
      <pivotArea outline="0" collapsedLevelsAreSubtotals="1" fieldPosition="0"/>
    </format>
  </formats>
  <chartFormats count="1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264F4-2DCD-B441-8725-0E078EFD6556}" name="PivotTable3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C25" firstHeaderRow="0" firstDataRow="1" firstDataCol="1"/>
  <pivotFields count="17">
    <pivotField showAll="0"/>
    <pivotField axis="axisRow" showAll="0">
      <items count="25">
        <item x="9"/>
        <item x="6"/>
        <item x="13"/>
        <item x="1"/>
        <item x="18"/>
        <item x="0"/>
        <item x="5"/>
        <item x="15"/>
        <item x="14"/>
        <item x="19"/>
        <item x="2"/>
        <item x="3"/>
        <item x="21"/>
        <item x="10"/>
        <item x="22"/>
        <item x="16"/>
        <item x="20"/>
        <item x="17"/>
        <item x="11"/>
        <item x="12"/>
        <item x="4"/>
        <item x="8"/>
        <item x="7"/>
        <item h="1" x="2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Accomodation cost(updated)" fld="13" subtotal="average" baseField="0" baseItem="0"/>
    <dataField name="Average of Transportation cost(updated)" fld="14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5341-55AB-704C-AD94-89A9BD88639E}">
  <dimension ref="A1:I123"/>
  <sheetViews>
    <sheetView tabSelected="1" workbookViewId="0"/>
  </sheetViews>
  <sheetFormatPr baseColWidth="10" defaultRowHeight="16" x14ac:dyDescent="0.2"/>
  <cols>
    <col min="1" max="1" width="19" bestFit="1" customWidth="1"/>
    <col min="2" max="2" width="34.83203125" bestFit="1" customWidth="1"/>
    <col min="3" max="3" width="35.1640625" bestFit="1" customWidth="1"/>
    <col min="4" max="4" width="6.6640625" bestFit="1" customWidth="1"/>
    <col min="5" max="5" width="5.83203125" bestFit="1" customWidth="1"/>
    <col min="6" max="6" width="11.1640625" bestFit="1" customWidth="1"/>
    <col min="7" max="7" width="3.6640625" bestFit="1" customWidth="1"/>
    <col min="8" max="8" width="10.83203125" bestFit="1" customWidth="1"/>
    <col min="9" max="9" width="12.1640625" bestFit="1" customWidth="1"/>
  </cols>
  <sheetData>
    <row r="1" spans="1:3" x14ac:dyDescent="0.2">
      <c r="A1" s="6" t="s">
        <v>205</v>
      </c>
      <c r="B1" t="s">
        <v>207</v>
      </c>
      <c r="C1" t="s">
        <v>208</v>
      </c>
    </row>
    <row r="2" spans="1:3" x14ac:dyDescent="0.2">
      <c r="A2" s="7" t="s">
        <v>74</v>
      </c>
      <c r="B2" s="8">
        <v>1700</v>
      </c>
      <c r="C2" s="8">
        <v>650</v>
      </c>
    </row>
    <row r="3" spans="1:3" x14ac:dyDescent="0.2">
      <c r="A3" s="7" t="s">
        <v>76</v>
      </c>
      <c r="B3" s="8">
        <v>900</v>
      </c>
      <c r="C3" s="8">
        <v>448.21428571428572</v>
      </c>
    </row>
    <row r="4" spans="1:3" x14ac:dyDescent="0.2">
      <c r="A4" s="7" t="s">
        <v>176</v>
      </c>
      <c r="B4" s="8">
        <v>200</v>
      </c>
      <c r="C4" s="8">
        <v>500</v>
      </c>
    </row>
    <row r="5" spans="1:3" x14ac:dyDescent="0.2">
      <c r="A5" s="7" t="s">
        <v>88</v>
      </c>
      <c r="B5" s="8">
        <v>466.66666666666669</v>
      </c>
      <c r="C5" s="8">
        <v>1933.3333333333333</v>
      </c>
    </row>
    <row r="6" spans="1:3" x14ac:dyDescent="0.2">
      <c r="A6" s="7" t="s">
        <v>80</v>
      </c>
      <c r="B6" s="8">
        <v>800</v>
      </c>
      <c r="C6" s="8">
        <v>550</v>
      </c>
    </row>
    <row r="7" spans="1:3" x14ac:dyDescent="0.2">
      <c r="A7" s="7" t="s">
        <v>71</v>
      </c>
      <c r="B7" s="8">
        <v>922.35294117647061</v>
      </c>
      <c r="C7" s="8">
        <v>629.375</v>
      </c>
    </row>
    <row r="8" spans="1:3" x14ac:dyDescent="0.2">
      <c r="A8" s="7" t="s">
        <v>164</v>
      </c>
      <c r="B8" s="8">
        <v>525</v>
      </c>
      <c r="C8" s="8">
        <v>450</v>
      </c>
    </row>
    <row r="9" spans="1:3" x14ac:dyDescent="0.2">
      <c r="A9" s="7" t="s">
        <v>78</v>
      </c>
      <c r="B9" s="8">
        <v>2766.6666666666665</v>
      </c>
      <c r="C9" s="8">
        <v>633.33333333333337</v>
      </c>
    </row>
    <row r="10" spans="1:3" x14ac:dyDescent="0.2">
      <c r="A10" s="7" t="s">
        <v>199</v>
      </c>
      <c r="B10" s="8">
        <v>300</v>
      </c>
      <c r="C10" s="8">
        <v>600</v>
      </c>
    </row>
    <row r="11" spans="1:3" x14ac:dyDescent="0.2">
      <c r="A11" s="7" t="s">
        <v>84</v>
      </c>
      <c r="B11" s="8">
        <v>1380</v>
      </c>
      <c r="C11" s="8">
        <v>360</v>
      </c>
    </row>
    <row r="12" spans="1:3" x14ac:dyDescent="0.2">
      <c r="A12" s="7" t="s">
        <v>67</v>
      </c>
      <c r="B12" s="8">
        <v>1883.3333333333333</v>
      </c>
      <c r="C12" s="8">
        <v>850</v>
      </c>
    </row>
    <row r="13" spans="1:3" x14ac:dyDescent="0.2">
      <c r="A13" s="7" t="s">
        <v>82</v>
      </c>
      <c r="B13" s="8">
        <v>1100</v>
      </c>
      <c r="C13" s="8">
        <v>620</v>
      </c>
    </row>
    <row r="14" spans="1:3" x14ac:dyDescent="0.2">
      <c r="A14" s="7" t="s">
        <v>202</v>
      </c>
      <c r="B14" s="8">
        <v>1000</v>
      </c>
      <c r="C14" s="8">
        <v>1000</v>
      </c>
    </row>
    <row r="15" spans="1:3" x14ac:dyDescent="0.2">
      <c r="A15" s="7" t="s">
        <v>197</v>
      </c>
      <c r="B15" s="8">
        <v>1055.5555555555557</v>
      </c>
      <c r="C15" s="8">
        <v>583.33333333333337</v>
      </c>
    </row>
    <row r="16" spans="1:3" x14ac:dyDescent="0.2">
      <c r="A16" s="7" t="s">
        <v>198</v>
      </c>
      <c r="B16" s="8">
        <v>1200</v>
      </c>
      <c r="C16" s="8">
        <v>200</v>
      </c>
    </row>
    <row r="17" spans="1:3" x14ac:dyDescent="0.2">
      <c r="A17" s="7" t="s">
        <v>201</v>
      </c>
      <c r="B17" s="8">
        <v>400</v>
      </c>
      <c r="C17" s="8">
        <v>800</v>
      </c>
    </row>
    <row r="18" spans="1:3" x14ac:dyDescent="0.2">
      <c r="A18" s="7" t="s">
        <v>200</v>
      </c>
      <c r="B18" s="8">
        <v>500</v>
      </c>
      <c r="C18" s="8">
        <v>1200</v>
      </c>
    </row>
    <row r="19" spans="1:3" x14ac:dyDescent="0.2">
      <c r="A19" s="7" t="s">
        <v>156</v>
      </c>
      <c r="B19" s="8">
        <v>800</v>
      </c>
      <c r="C19" s="8">
        <v>900</v>
      </c>
    </row>
    <row r="20" spans="1:3" x14ac:dyDescent="0.2">
      <c r="A20" s="7" t="s">
        <v>86</v>
      </c>
      <c r="B20" s="8">
        <v>680</v>
      </c>
      <c r="C20" s="8">
        <v>600</v>
      </c>
    </row>
    <row r="21" spans="1:3" x14ac:dyDescent="0.2">
      <c r="A21" s="7" t="s">
        <v>69</v>
      </c>
      <c r="B21" s="8">
        <v>690</v>
      </c>
      <c r="C21" s="8">
        <v>240</v>
      </c>
    </row>
    <row r="22" spans="1:3" x14ac:dyDescent="0.2">
      <c r="A22" s="7" t="s">
        <v>157</v>
      </c>
      <c r="B22" s="8">
        <v>807.69230769230774</v>
      </c>
      <c r="C22" s="8">
        <v>653.84615384615381</v>
      </c>
    </row>
    <row r="23" spans="1:3" x14ac:dyDescent="0.2">
      <c r="A23" s="7" t="s">
        <v>174</v>
      </c>
      <c r="B23" s="8">
        <v>800</v>
      </c>
      <c r="C23" s="8">
        <v>200</v>
      </c>
    </row>
    <row r="24" spans="1:3" x14ac:dyDescent="0.2">
      <c r="A24" s="7" t="s">
        <v>154</v>
      </c>
      <c r="B24" s="8">
        <v>2516.6666666666665</v>
      </c>
      <c r="C24" s="8">
        <v>600</v>
      </c>
    </row>
    <row r="25" spans="1:3" x14ac:dyDescent="0.2">
      <c r="A25" s="7" t="s">
        <v>206</v>
      </c>
      <c r="B25" s="8">
        <v>1245.1094890510949</v>
      </c>
      <c r="C25" s="8">
        <v>645.18382352941171</v>
      </c>
    </row>
    <row r="27" spans="1:3" x14ac:dyDescent="0.2">
      <c r="A27" s="6" t="s">
        <v>205</v>
      </c>
      <c r="B27" t="s">
        <v>207</v>
      </c>
    </row>
    <row r="28" spans="1:3" x14ac:dyDescent="0.2">
      <c r="A28" s="7" t="s">
        <v>28</v>
      </c>
      <c r="B28" s="9">
        <v>1186.6666666666667</v>
      </c>
    </row>
    <row r="29" spans="1:3" x14ac:dyDescent="0.2">
      <c r="A29" s="7" t="s">
        <v>33</v>
      </c>
      <c r="B29" s="9">
        <v>1634.5833333333333</v>
      </c>
    </row>
    <row r="30" spans="1:3" x14ac:dyDescent="0.2">
      <c r="A30" s="7" t="s">
        <v>16</v>
      </c>
      <c r="B30" s="9">
        <v>954.16666666666663</v>
      </c>
    </row>
    <row r="31" spans="1:3" x14ac:dyDescent="0.2">
      <c r="A31" s="7" t="s">
        <v>20</v>
      </c>
      <c r="B31" s="9">
        <v>950</v>
      </c>
    </row>
    <row r="32" spans="1:3" x14ac:dyDescent="0.2">
      <c r="A32" s="7" t="s">
        <v>112</v>
      </c>
      <c r="B32" s="9">
        <v>500</v>
      </c>
    </row>
    <row r="33" spans="1:3" x14ac:dyDescent="0.2">
      <c r="A33" s="7" t="s">
        <v>23</v>
      </c>
      <c r="B33" s="9">
        <v>3675</v>
      </c>
    </row>
    <row r="34" spans="1:3" x14ac:dyDescent="0.2">
      <c r="A34" s="7" t="s">
        <v>206</v>
      </c>
      <c r="B34" s="9">
        <v>1196.8888888888889</v>
      </c>
    </row>
    <row r="41" spans="1:3" x14ac:dyDescent="0.2">
      <c r="A41" s="6" t="s">
        <v>205</v>
      </c>
      <c r="B41" t="s">
        <v>207</v>
      </c>
      <c r="C41" t="s">
        <v>208</v>
      </c>
    </row>
    <row r="42" spans="1:3" x14ac:dyDescent="0.2">
      <c r="A42" s="7" t="s">
        <v>216</v>
      </c>
      <c r="B42" s="8">
        <v>833.33333333333337</v>
      </c>
      <c r="C42" s="8">
        <v>577.77777777777783</v>
      </c>
    </row>
    <row r="43" spans="1:3" x14ac:dyDescent="0.2">
      <c r="A43" s="7" t="s">
        <v>217</v>
      </c>
      <c r="B43" s="8">
        <v>748</v>
      </c>
      <c r="C43" s="8">
        <v>437</v>
      </c>
    </row>
    <row r="44" spans="1:3" x14ac:dyDescent="0.2">
      <c r="A44" s="7" t="s">
        <v>218</v>
      </c>
      <c r="B44" s="8">
        <v>1050</v>
      </c>
      <c r="C44" s="8">
        <v>391.66666666666669</v>
      </c>
    </row>
    <row r="45" spans="1:3" x14ac:dyDescent="0.2">
      <c r="A45" s="7" t="s">
        <v>219</v>
      </c>
      <c r="B45" s="8">
        <v>1342.8571428571429</v>
      </c>
      <c r="C45" s="8">
        <v>337.5</v>
      </c>
    </row>
    <row r="46" spans="1:3" x14ac:dyDescent="0.2">
      <c r="A46" s="7" t="s">
        <v>220</v>
      </c>
      <c r="B46" s="8">
        <v>1510</v>
      </c>
      <c r="C46" s="8">
        <v>624.66666666666663</v>
      </c>
    </row>
    <row r="47" spans="1:3" x14ac:dyDescent="0.2">
      <c r="A47" s="7" t="s">
        <v>210</v>
      </c>
      <c r="B47" s="8">
        <v>1126.6666666666667</v>
      </c>
      <c r="C47" s="8">
        <v>826.66666666666663</v>
      </c>
    </row>
    <row r="48" spans="1:3" x14ac:dyDescent="0.2">
      <c r="A48" s="7" t="s">
        <v>211</v>
      </c>
      <c r="B48" s="8">
        <v>1537.5</v>
      </c>
      <c r="C48" s="8">
        <v>728.125</v>
      </c>
    </row>
    <row r="49" spans="1:8" x14ac:dyDescent="0.2">
      <c r="A49" s="7" t="s">
        <v>212</v>
      </c>
      <c r="B49" s="8">
        <v>852.94117647058829</v>
      </c>
      <c r="C49" s="8">
        <v>911.76470588235293</v>
      </c>
    </row>
    <row r="50" spans="1:8" x14ac:dyDescent="0.2">
      <c r="A50" s="7" t="s">
        <v>213</v>
      </c>
      <c r="B50" s="8">
        <v>1905.8823529411766</v>
      </c>
      <c r="C50" s="8">
        <v>588.23529411764707</v>
      </c>
    </row>
    <row r="51" spans="1:8" x14ac:dyDescent="0.2">
      <c r="A51" s="7" t="s">
        <v>214</v>
      </c>
      <c r="B51" s="8">
        <v>1105.5555555555557</v>
      </c>
      <c r="C51" s="8">
        <v>666.66666666666663</v>
      </c>
    </row>
    <row r="52" spans="1:8" x14ac:dyDescent="0.2">
      <c r="A52" s="7" t="s">
        <v>215</v>
      </c>
      <c r="B52" s="8">
        <v>1381.8181818181818</v>
      </c>
      <c r="C52" s="8">
        <v>525.4545454545455</v>
      </c>
    </row>
    <row r="53" spans="1:8" x14ac:dyDescent="0.2">
      <c r="A53" s="7" t="s">
        <v>221</v>
      </c>
      <c r="B53" s="8">
        <v>740</v>
      </c>
      <c r="C53" s="8">
        <v>620</v>
      </c>
    </row>
    <row r="54" spans="1:8" x14ac:dyDescent="0.2">
      <c r="A54" s="7" t="s">
        <v>206</v>
      </c>
      <c r="B54" s="8">
        <v>1245.1094890510949</v>
      </c>
      <c r="C54" s="8">
        <v>645.18382352941171</v>
      </c>
    </row>
    <row r="56" spans="1:8" x14ac:dyDescent="0.2">
      <c r="A56" s="6" t="s">
        <v>223</v>
      </c>
      <c r="B56" s="6" t="s">
        <v>222</v>
      </c>
    </row>
    <row r="57" spans="1:8" x14ac:dyDescent="0.2">
      <c r="A57" s="6" t="s">
        <v>205</v>
      </c>
      <c r="B57" t="s">
        <v>74</v>
      </c>
      <c r="C57" t="s">
        <v>76</v>
      </c>
      <c r="D57" t="s">
        <v>71</v>
      </c>
      <c r="E57" t="s">
        <v>67</v>
      </c>
      <c r="F57" t="s">
        <v>197</v>
      </c>
      <c r="G57" t="s">
        <v>157</v>
      </c>
      <c r="H57" t="s">
        <v>206</v>
      </c>
    </row>
    <row r="58" spans="1:8" x14ac:dyDescent="0.2">
      <c r="A58" s="7" t="s">
        <v>186</v>
      </c>
      <c r="B58" s="8">
        <v>15</v>
      </c>
      <c r="C58" s="8">
        <v>5</v>
      </c>
      <c r="D58" s="8">
        <v>12</v>
      </c>
      <c r="E58" s="8">
        <v>4</v>
      </c>
      <c r="F58" s="8">
        <v>4</v>
      </c>
      <c r="G58" s="8">
        <v>8</v>
      </c>
      <c r="H58" s="8">
        <v>48</v>
      </c>
    </row>
    <row r="59" spans="1:8" x14ac:dyDescent="0.2">
      <c r="A59" s="7" t="s">
        <v>73</v>
      </c>
      <c r="B59" s="8">
        <v>2</v>
      </c>
      <c r="C59" s="8">
        <v>1</v>
      </c>
      <c r="D59" s="8">
        <v>2</v>
      </c>
      <c r="E59" s="8">
        <v>1</v>
      </c>
      <c r="F59" s="8">
        <v>1</v>
      </c>
      <c r="G59" s="8">
        <v>2</v>
      </c>
      <c r="H59" s="8">
        <v>9</v>
      </c>
    </row>
    <row r="60" spans="1:8" x14ac:dyDescent="0.2">
      <c r="A60" s="7" t="s">
        <v>29</v>
      </c>
      <c r="B60" s="8">
        <v>4</v>
      </c>
      <c r="C60" s="8">
        <v>6</v>
      </c>
      <c r="D60" s="8">
        <v>2</v>
      </c>
      <c r="E60" s="8">
        <v>9</v>
      </c>
      <c r="F60" s="8">
        <v>4</v>
      </c>
      <c r="G60" s="8">
        <v>2</v>
      </c>
      <c r="H60" s="8">
        <v>27</v>
      </c>
    </row>
    <row r="61" spans="1:8" x14ac:dyDescent="0.2">
      <c r="A61" s="7" t="s">
        <v>206</v>
      </c>
      <c r="B61" s="8">
        <v>21</v>
      </c>
      <c r="C61" s="8">
        <v>12</v>
      </c>
      <c r="D61" s="8">
        <v>16</v>
      </c>
      <c r="E61" s="8">
        <v>14</v>
      </c>
      <c r="F61" s="8">
        <v>9</v>
      </c>
      <c r="G61" s="8">
        <v>12</v>
      </c>
      <c r="H61" s="8">
        <v>84</v>
      </c>
    </row>
    <row r="72" spans="1:9" x14ac:dyDescent="0.2">
      <c r="A72" s="6" t="s">
        <v>208</v>
      </c>
      <c r="B72" s="6" t="s">
        <v>222</v>
      </c>
    </row>
    <row r="73" spans="1:9" x14ac:dyDescent="0.2">
      <c r="A73" s="6" t="s">
        <v>205</v>
      </c>
      <c r="B73" t="s">
        <v>186</v>
      </c>
      <c r="C73" t="s">
        <v>58</v>
      </c>
      <c r="D73" t="s">
        <v>134</v>
      </c>
      <c r="E73" t="s">
        <v>73</v>
      </c>
      <c r="F73" t="s">
        <v>172</v>
      </c>
      <c r="G73" t="s">
        <v>107</v>
      </c>
      <c r="H73" t="s">
        <v>29</v>
      </c>
      <c r="I73" t="s">
        <v>206</v>
      </c>
    </row>
    <row r="74" spans="1:9" x14ac:dyDescent="0.2">
      <c r="A74" s="7" t="s">
        <v>74</v>
      </c>
      <c r="B74" s="8">
        <v>800</v>
      </c>
      <c r="C74" s="8"/>
      <c r="D74" s="8"/>
      <c r="E74" s="8">
        <v>350</v>
      </c>
      <c r="F74" s="8"/>
      <c r="G74" s="8"/>
      <c r="H74" s="8">
        <v>237.5</v>
      </c>
      <c r="I74" s="8">
        <v>650</v>
      </c>
    </row>
    <row r="75" spans="1:9" x14ac:dyDescent="0.2">
      <c r="A75" s="7" t="s">
        <v>76</v>
      </c>
      <c r="B75" s="8">
        <v>570</v>
      </c>
      <c r="C75" s="8">
        <v>75</v>
      </c>
      <c r="D75" s="8">
        <v>2000</v>
      </c>
      <c r="E75" s="8">
        <v>400</v>
      </c>
      <c r="F75" s="8"/>
      <c r="G75" s="8"/>
      <c r="H75" s="8">
        <v>158.33333333333334</v>
      </c>
      <c r="I75" s="8">
        <v>448.21428571428572</v>
      </c>
    </row>
    <row r="76" spans="1:9" x14ac:dyDescent="0.2">
      <c r="A76" s="7" t="s">
        <v>176</v>
      </c>
      <c r="B76" s="8">
        <v>500</v>
      </c>
      <c r="C76" s="8"/>
      <c r="D76" s="8"/>
      <c r="E76" s="8"/>
      <c r="F76" s="8"/>
      <c r="G76" s="8"/>
      <c r="H76" s="8"/>
      <c r="I76" s="8">
        <v>500</v>
      </c>
    </row>
    <row r="77" spans="1:9" x14ac:dyDescent="0.2">
      <c r="A77" s="7" t="s">
        <v>88</v>
      </c>
      <c r="B77" s="8">
        <v>1933.3333333333333</v>
      </c>
      <c r="C77" s="8"/>
      <c r="D77" s="8"/>
      <c r="E77" s="8"/>
      <c r="F77" s="8"/>
      <c r="G77" s="8"/>
      <c r="H77" s="8"/>
      <c r="I77" s="8">
        <v>1933.3333333333333</v>
      </c>
    </row>
    <row r="78" spans="1:9" x14ac:dyDescent="0.2">
      <c r="A78" s="7" t="s">
        <v>80</v>
      </c>
      <c r="B78" s="8">
        <v>550</v>
      </c>
      <c r="C78" s="8"/>
      <c r="D78" s="8"/>
      <c r="E78" s="8"/>
      <c r="F78" s="8"/>
      <c r="G78" s="8"/>
      <c r="H78" s="8"/>
      <c r="I78" s="8">
        <v>550</v>
      </c>
    </row>
    <row r="79" spans="1:9" x14ac:dyDescent="0.2">
      <c r="A79" s="7" t="s">
        <v>71</v>
      </c>
      <c r="B79" s="8">
        <v>775</v>
      </c>
      <c r="C79" s="8"/>
      <c r="D79" s="8"/>
      <c r="E79" s="8">
        <v>250</v>
      </c>
      <c r="F79" s="8"/>
      <c r="G79" s="8"/>
      <c r="H79" s="8">
        <v>135</v>
      </c>
      <c r="I79" s="8">
        <v>629.375</v>
      </c>
    </row>
    <row r="80" spans="1:9" x14ac:dyDescent="0.2">
      <c r="A80" s="7" t="s">
        <v>164</v>
      </c>
      <c r="B80" s="8">
        <v>800</v>
      </c>
      <c r="C80" s="8">
        <v>100</v>
      </c>
      <c r="D80" s="8"/>
      <c r="E80" s="8"/>
      <c r="F80" s="8"/>
      <c r="G80" s="8"/>
      <c r="H80" s="8"/>
      <c r="I80" s="8">
        <v>450</v>
      </c>
    </row>
    <row r="81" spans="1:9" x14ac:dyDescent="0.2">
      <c r="A81" s="7" t="s">
        <v>78</v>
      </c>
      <c r="B81" s="8">
        <v>850</v>
      </c>
      <c r="C81" s="8"/>
      <c r="D81" s="8"/>
      <c r="E81" s="8"/>
      <c r="F81" s="8"/>
      <c r="G81" s="8"/>
      <c r="H81" s="8">
        <v>200</v>
      </c>
      <c r="I81" s="8">
        <v>633.33333333333337</v>
      </c>
    </row>
    <row r="82" spans="1:9" x14ac:dyDescent="0.2">
      <c r="A82" s="7" t="s">
        <v>199</v>
      </c>
      <c r="B82" s="8">
        <v>600</v>
      </c>
      <c r="C82" s="8"/>
      <c r="D82" s="8"/>
      <c r="E82" s="8"/>
      <c r="F82" s="8"/>
      <c r="G82" s="8"/>
      <c r="H82" s="8"/>
      <c r="I82" s="8">
        <v>600</v>
      </c>
    </row>
    <row r="83" spans="1:9" x14ac:dyDescent="0.2">
      <c r="A83" s="7" t="s">
        <v>84</v>
      </c>
      <c r="B83" s="8">
        <v>533.33333333333337</v>
      </c>
      <c r="C83" s="8"/>
      <c r="D83" s="8"/>
      <c r="E83" s="8"/>
      <c r="F83" s="8"/>
      <c r="G83" s="8"/>
      <c r="H83" s="8">
        <v>100</v>
      </c>
      <c r="I83" s="8">
        <v>360</v>
      </c>
    </row>
    <row r="84" spans="1:9" x14ac:dyDescent="0.2">
      <c r="A84" s="7" t="s">
        <v>67</v>
      </c>
      <c r="B84" s="8">
        <v>1875</v>
      </c>
      <c r="C84" s="8">
        <v>50</v>
      </c>
      <c r="D84" s="8">
        <v>2000</v>
      </c>
      <c r="E84" s="8">
        <v>250</v>
      </c>
      <c r="F84" s="8">
        <v>150</v>
      </c>
      <c r="G84" s="8">
        <v>20</v>
      </c>
      <c r="H84" s="8">
        <v>592.22222222222217</v>
      </c>
      <c r="I84" s="8">
        <v>850</v>
      </c>
    </row>
    <row r="85" spans="1:9" x14ac:dyDescent="0.2">
      <c r="A85" s="7" t="s">
        <v>82</v>
      </c>
      <c r="B85" s="8">
        <v>2500</v>
      </c>
      <c r="C85" s="8">
        <v>50</v>
      </c>
      <c r="D85" s="8"/>
      <c r="E85" s="8">
        <v>400</v>
      </c>
      <c r="F85" s="8"/>
      <c r="G85" s="8"/>
      <c r="H85" s="8">
        <v>100</v>
      </c>
      <c r="I85" s="8">
        <v>620</v>
      </c>
    </row>
    <row r="86" spans="1:9" x14ac:dyDescent="0.2">
      <c r="A86" s="7" t="s">
        <v>202</v>
      </c>
      <c r="B86" s="8"/>
      <c r="C86" s="8"/>
      <c r="D86" s="8"/>
      <c r="E86" s="8"/>
      <c r="F86" s="8"/>
      <c r="G86" s="8"/>
      <c r="H86" s="8">
        <v>1000</v>
      </c>
      <c r="I86" s="8">
        <v>1000</v>
      </c>
    </row>
    <row r="87" spans="1:9" x14ac:dyDescent="0.2">
      <c r="A87" s="7" t="s">
        <v>197</v>
      </c>
      <c r="B87" s="8">
        <v>700</v>
      </c>
      <c r="C87" s="8"/>
      <c r="D87" s="8"/>
      <c r="E87" s="8">
        <v>300</v>
      </c>
      <c r="F87" s="8"/>
      <c r="G87" s="8"/>
      <c r="H87" s="8">
        <v>537.5</v>
      </c>
      <c r="I87" s="8">
        <v>583.33333333333337</v>
      </c>
    </row>
    <row r="88" spans="1:9" x14ac:dyDescent="0.2">
      <c r="A88" s="7" t="s">
        <v>198</v>
      </c>
      <c r="B88" s="8"/>
      <c r="C88" s="8"/>
      <c r="D88" s="8"/>
      <c r="E88" s="8"/>
      <c r="F88" s="8"/>
      <c r="G88" s="8"/>
      <c r="H88" s="8">
        <v>200</v>
      </c>
      <c r="I88" s="8">
        <v>200</v>
      </c>
    </row>
    <row r="89" spans="1:9" x14ac:dyDescent="0.2">
      <c r="A89" s="7" t="s">
        <v>201</v>
      </c>
      <c r="B89" s="8">
        <v>800</v>
      </c>
      <c r="C89" s="8"/>
      <c r="D89" s="8"/>
      <c r="E89" s="8"/>
      <c r="F89" s="8"/>
      <c r="G89" s="8"/>
      <c r="H89" s="8"/>
      <c r="I89" s="8">
        <v>800</v>
      </c>
    </row>
    <row r="90" spans="1:9" x14ac:dyDescent="0.2">
      <c r="A90" s="7" t="s">
        <v>200</v>
      </c>
      <c r="B90" s="8">
        <v>1200</v>
      </c>
      <c r="C90" s="8"/>
      <c r="D90" s="8"/>
      <c r="E90" s="8"/>
      <c r="F90" s="8"/>
      <c r="G90" s="8"/>
      <c r="H90" s="8"/>
      <c r="I90" s="8">
        <v>1200</v>
      </c>
    </row>
    <row r="91" spans="1:9" x14ac:dyDescent="0.2">
      <c r="A91" s="7" t="s">
        <v>156</v>
      </c>
      <c r="B91" s="8">
        <v>900</v>
      </c>
      <c r="C91" s="8"/>
      <c r="D91" s="8"/>
      <c r="E91" s="8"/>
      <c r="F91" s="8"/>
      <c r="G91" s="8"/>
      <c r="H91" s="8"/>
      <c r="I91" s="8">
        <v>900</v>
      </c>
    </row>
    <row r="92" spans="1:9" x14ac:dyDescent="0.2">
      <c r="A92" s="7" t="s">
        <v>86</v>
      </c>
      <c r="B92" s="8">
        <v>675</v>
      </c>
      <c r="C92" s="8"/>
      <c r="D92" s="8"/>
      <c r="E92" s="8">
        <v>300</v>
      </c>
      <c r="F92" s="8"/>
      <c r="G92" s="8"/>
      <c r="H92" s="8"/>
      <c r="I92" s="8">
        <v>600</v>
      </c>
    </row>
    <row r="93" spans="1:9" x14ac:dyDescent="0.2">
      <c r="A93" s="7" t="s">
        <v>69</v>
      </c>
      <c r="B93" s="8">
        <v>600</v>
      </c>
      <c r="C93" s="8"/>
      <c r="D93" s="8"/>
      <c r="E93" s="8"/>
      <c r="F93" s="8"/>
      <c r="G93" s="8"/>
      <c r="H93" s="8">
        <v>150</v>
      </c>
      <c r="I93" s="8">
        <v>240</v>
      </c>
    </row>
    <row r="94" spans="1:9" x14ac:dyDescent="0.2">
      <c r="A94" s="7" t="s">
        <v>157</v>
      </c>
      <c r="B94" s="8">
        <v>887.5</v>
      </c>
      <c r="C94" s="8">
        <v>100</v>
      </c>
      <c r="D94" s="8"/>
      <c r="E94" s="8">
        <v>250</v>
      </c>
      <c r="F94" s="8"/>
      <c r="G94" s="8"/>
      <c r="H94" s="8">
        <v>400</v>
      </c>
      <c r="I94" s="8">
        <v>653.84615384615381</v>
      </c>
    </row>
    <row r="95" spans="1:9" x14ac:dyDescent="0.2">
      <c r="A95" s="7" t="s">
        <v>174</v>
      </c>
      <c r="B95" s="8"/>
      <c r="C95" s="8"/>
      <c r="D95" s="8"/>
      <c r="E95" s="8">
        <v>200</v>
      </c>
      <c r="F95" s="8"/>
      <c r="G95" s="8"/>
      <c r="H95" s="8"/>
      <c r="I95" s="8">
        <v>200</v>
      </c>
    </row>
    <row r="96" spans="1:9" x14ac:dyDescent="0.2">
      <c r="A96" s="7" t="s">
        <v>154</v>
      </c>
      <c r="B96" s="8">
        <v>750</v>
      </c>
      <c r="C96" s="8"/>
      <c r="D96" s="8">
        <v>300</v>
      </c>
      <c r="E96" s="8">
        <v>300</v>
      </c>
      <c r="F96" s="8"/>
      <c r="G96" s="8"/>
      <c r="H96" s="8"/>
      <c r="I96" s="8">
        <v>600</v>
      </c>
    </row>
    <row r="97" spans="1:9" x14ac:dyDescent="0.2">
      <c r="A97" s="7" t="s">
        <v>206</v>
      </c>
      <c r="B97" s="8">
        <v>883.33333333333337</v>
      </c>
      <c r="C97" s="8">
        <v>70.833333333333329</v>
      </c>
      <c r="D97" s="8">
        <v>1433.3333333333333</v>
      </c>
      <c r="E97" s="8">
        <v>296.15384615384613</v>
      </c>
      <c r="F97" s="8">
        <v>150</v>
      </c>
      <c r="G97" s="8">
        <v>20</v>
      </c>
      <c r="H97" s="8">
        <v>344.59459459459458</v>
      </c>
      <c r="I97" s="8">
        <v>645.18382352941171</v>
      </c>
    </row>
    <row r="99" spans="1:9" x14ac:dyDescent="0.2">
      <c r="A99" s="6" t="s">
        <v>205</v>
      </c>
      <c r="B99" t="s">
        <v>209</v>
      </c>
    </row>
    <row r="100" spans="1:9" x14ac:dyDescent="0.2">
      <c r="A100" s="7" t="s">
        <v>74</v>
      </c>
      <c r="B100" s="8">
        <v>21</v>
      </c>
    </row>
    <row r="101" spans="1:9" x14ac:dyDescent="0.2">
      <c r="A101" s="7" t="s">
        <v>76</v>
      </c>
      <c r="B101" s="8">
        <v>14</v>
      </c>
    </row>
    <row r="102" spans="1:9" x14ac:dyDescent="0.2">
      <c r="A102" s="7" t="s">
        <v>176</v>
      </c>
      <c r="B102" s="8">
        <v>1</v>
      </c>
    </row>
    <row r="103" spans="1:9" x14ac:dyDescent="0.2">
      <c r="A103" s="7" t="s">
        <v>88</v>
      </c>
      <c r="B103" s="8">
        <v>3</v>
      </c>
    </row>
    <row r="104" spans="1:9" x14ac:dyDescent="0.2">
      <c r="A104" s="7" t="s">
        <v>80</v>
      </c>
      <c r="B104" s="8">
        <v>2</v>
      </c>
    </row>
    <row r="105" spans="1:9" x14ac:dyDescent="0.2">
      <c r="A105" s="7" t="s">
        <v>71</v>
      </c>
      <c r="B105" s="8">
        <v>17</v>
      </c>
    </row>
    <row r="106" spans="1:9" x14ac:dyDescent="0.2">
      <c r="A106" s="7" t="s">
        <v>164</v>
      </c>
      <c r="B106" s="8">
        <v>2</v>
      </c>
    </row>
    <row r="107" spans="1:9" x14ac:dyDescent="0.2">
      <c r="A107" s="7" t="s">
        <v>78</v>
      </c>
      <c r="B107" s="8">
        <v>3</v>
      </c>
    </row>
    <row r="108" spans="1:9" x14ac:dyDescent="0.2">
      <c r="A108" s="7" t="s">
        <v>199</v>
      </c>
      <c r="B108" s="8">
        <v>1</v>
      </c>
    </row>
    <row r="109" spans="1:9" x14ac:dyDescent="0.2">
      <c r="A109" s="7" t="s">
        <v>84</v>
      </c>
      <c r="B109" s="8">
        <v>5</v>
      </c>
    </row>
    <row r="110" spans="1:9" x14ac:dyDescent="0.2">
      <c r="A110" s="7" t="s">
        <v>67</v>
      </c>
      <c r="B110" s="8">
        <v>18</v>
      </c>
    </row>
    <row r="111" spans="1:9" x14ac:dyDescent="0.2">
      <c r="A111" s="7" t="s">
        <v>82</v>
      </c>
      <c r="B111" s="8">
        <v>5</v>
      </c>
    </row>
    <row r="112" spans="1:9" x14ac:dyDescent="0.2">
      <c r="A112" s="7" t="s">
        <v>202</v>
      </c>
      <c r="B112" s="8">
        <v>1</v>
      </c>
    </row>
    <row r="113" spans="1:2" x14ac:dyDescent="0.2">
      <c r="A113" s="7" t="s">
        <v>197</v>
      </c>
      <c r="B113" s="8">
        <v>9</v>
      </c>
    </row>
    <row r="114" spans="1:2" x14ac:dyDescent="0.2">
      <c r="A114" s="7" t="s">
        <v>198</v>
      </c>
      <c r="B114" s="8">
        <v>1</v>
      </c>
    </row>
    <row r="115" spans="1:2" x14ac:dyDescent="0.2">
      <c r="A115" s="7" t="s">
        <v>201</v>
      </c>
      <c r="B115" s="8">
        <v>1</v>
      </c>
    </row>
    <row r="116" spans="1:2" x14ac:dyDescent="0.2">
      <c r="A116" s="7" t="s">
        <v>200</v>
      </c>
      <c r="B116" s="8">
        <v>1</v>
      </c>
    </row>
    <row r="117" spans="1:2" x14ac:dyDescent="0.2">
      <c r="A117" s="7" t="s">
        <v>156</v>
      </c>
      <c r="B117" s="8">
        <v>2</v>
      </c>
    </row>
    <row r="118" spans="1:2" x14ac:dyDescent="0.2">
      <c r="A118" s="7" t="s">
        <v>86</v>
      </c>
      <c r="B118" s="8">
        <v>5</v>
      </c>
    </row>
    <row r="119" spans="1:2" x14ac:dyDescent="0.2">
      <c r="A119" s="7" t="s">
        <v>69</v>
      </c>
      <c r="B119" s="8">
        <v>5</v>
      </c>
    </row>
    <row r="120" spans="1:2" x14ac:dyDescent="0.2">
      <c r="A120" s="7" t="s">
        <v>157</v>
      </c>
      <c r="B120" s="8">
        <v>13</v>
      </c>
    </row>
    <row r="121" spans="1:2" x14ac:dyDescent="0.2">
      <c r="A121" s="7" t="s">
        <v>174</v>
      </c>
      <c r="B121" s="8">
        <v>1</v>
      </c>
    </row>
    <row r="122" spans="1:2" x14ac:dyDescent="0.2">
      <c r="A122" s="7" t="s">
        <v>154</v>
      </c>
      <c r="B122" s="8">
        <v>6</v>
      </c>
    </row>
    <row r="123" spans="1:2" x14ac:dyDescent="0.2">
      <c r="A123" s="7" t="s">
        <v>206</v>
      </c>
      <c r="B123" s="8">
        <v>137</v>
      </c>
    </row>
  </sheetData>
  <pageMargins left="0.7" right="0.7" top="0.75" bottom="0.75" header="0.3" footer="0.3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38"/>
  <sheetViews>
    <sheetView topLeftCell="F1" workbookViewId="0"/>
  </sheetViews>
  <sheetFormatPr baseColWidth="10" defaultRowHeight="16" x14ac:dyDescent="0.2"/>
  <cols>
    <col min="1" max="1" width="10.83203125" style="2"/>
    <col min="2" max="2" width="24.83203125" bestFit="1" customWidth="1"/>
    <col min="5" max="5" width="13.6640625" style="2" bestFit="1" customWidth="1"/>
    <col min="6" max="6" width="17" bestFit="1" customWidth="1"/>
    <col min="7" max="7" width="10.83203125" style="2"/>
    <col min="8" max="8" width="14" bestFit="1" customWidth="1"/>
    <col min="9" max="9" width="19" bestFit="1" customWidth="1"/>
    <col min="10" max="10" width="18.6640625" bestFit="1" customWidth="1"/>
    <col min="11" max="11" width="18.5" style="2" bestFit="1" customWidth="1"/>
    <col min="12" max="12" width="17.33203125" bestFit="1" customWidth="1"/>
    <col min="13" max="13" width="17.1640625" style="2" bestFit="1" customWidth="1"/>
    <col min="14" max="14" width="25" bestFit="1" customWidth="1"/>
    <col min="15" max="15" width="25.33203125" bestFit="1" customWidth="1"/>
    <col min="16" max="16" width="19" bestFit="1" customWidth="1"/>
    <col min="17" max="17" width="12" bestFit="1" customWidth="1"/>
  </cols>
  <sheetData>
    <row r="1" spans="1:15" x14ac:dyDescent="0.2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5" t="s">
        <v>5</v>
      </c>
      <c r="G1" s="4" t="s">
        <v>6</v>
      </c>
      <c r="H1" s="5" t="s">
        <v>7</v>
      </c>
      <c r="I1" s="5" t="s">
        <v>8</v>
      </c>
      <c r="J1" s="5" t="s">
        <v>9</v>
      </c>
      <c r="K1" s="4" t="s">
        <v>10</v>
      </c>
      <c r="L1" s="5" t="s">
        <v>11</v>
      </c>
      <c r="M1" s="4" t="s">
        <v>12</v>
      </c>
      <c r="N1" s="5" t="s">
        <v>195</v>
      </c>
      <c r="O1" s="5" t="s">
        <v>196</v>
      </c>
    </row>
    <row r="2" spans="1:15" x14ac:dyDescent="0.2">
      <c r="A2" s="2">
        <v>1</v>
      </c>
      <c r="B2" t="s">
        <v>69</v>
      </c>
      <c r="C2" s="1">
        <v>45047</v>
      </c>
      <c r="D2" s="1">
        <v>45054</v>
      </c>
      <c r="E2" s="2">
        <v>7</v>
      </c>
      <c r="F2" t="s">
        <v>13</v>
      </c>
      <c r="G2" s="2">
        <v>35</v>
      </c>
      <c r="H2" t="s">
        <v>14</v>
      </c>
      <c r="I2" t="s">
        <v>15</v>
      </c>
      <c r="J2" t="s">
        <v>16</v>
      </c>
      <c r="K2" s="3">
        <v>350</v>
      </c>
      <c r="L2" t="s">
        <v>186</v>
      </c>
      <c r="M2" s="3">
        <v>600</v>
      </c>
      <c r="N2" s="3">
        <f>INT(LEFT(K2,4))</f>
        <v>350</v>
      </c>
      <c r="O2" s="3">
        <v>600</v>
      </c>
    </row>
    <row r="3" spans="1:15" x14ac:dyDescent="0.2">
      <c r="A3" s="2">
        <v>2</v>
      </c>
      <c r="B3" t="s">
        <v>86</v>
      </c>
      <c r="C3" s="1">
        <v>45092</v>
      </c>
      <c r="D3" s="1">
        <v>45097</v>
      </c>
      <c r="E3" s="2">
        <v>5</v>
      </c>
      <c r="F3" t="s">
        <v>17</v>
      </c>
      <c r="G3" s="2">
        <v>28</v>
      </c>
      <c r="H3" t="s">
        <v>18</v>
      </c>
      <c r="I3" t="s">
        <v>19</v>
      </c>
      <c r="J3" t="s">
        <v>20</v>
      </c>
      <c r="K3" s="3">
        <v>900</v>
      </c>
      <c r="L3" t="s">
        <v>186</v>
      </c>
      <c r="M3" s="3">
        <v>500</v>
      </c>
      <c r="N3" s="3">
        <v>900</v>
      </c>
      <c r="O3" s="3">
        <v>500</v>
      </c>
    </row>
    <row r="4" spans="1:15" x14ac:dyDescent="0.2">
      <c r="A4" s="2">
        <v>3</v>
      </c>
      <c r="B4" t="s">
        <v>71</v>
      </c>
      <c r="C4" s="1">
        <v>45108</v>
      </c>
      <c r="D4" s="1">
        <v>45115</v>
      </c>
      <c r="E4" s="2">
        <v>7</v>
      </c>
      <c r="F4" t="s">
        <v>21</v>
      </c>
      <c r="G4" s="2">
        <v>45</v>
      </c>
      <c r="H4" t="s">
        <v>14</v>
      </c>
      <c r="I4" t="s">
        <v>22</v>
      </c>
      <c r="J4" t="s">
        <v>23</v>
      </c>
      <c r="K4" s="3">
        <v>1500</v>
      </c>
      <c r="L4" t="s">
        <v>186</v>
      </c>
      <c r="M4" s="3">
        <v>700</v>
      </c>
      <c r="N4" s="3">
        <v>1500</v>
      </c>
      <c r="O4" s="3">
        <v>700</v>
      </c>
    </row>
    <row r="5" spans="1:15" x14ac:dyDescent="0.2">
      <c r="A5" s="2">
        <v>4</v>
      </c>
      <c r="B5" t="s">
        <v>157</v>
      </c>
      <c r="C5" s="1">
        <v>45153</v>
      </c>
      <c r="D5" s="1">
        <v>45167</v>
      </c>
      <c r="E5" s="2">
        <v>14</v>
      </c>
      <c r="F5" t="s">
        <v>24</v>
      </c>
      <c r="G5" s="2">
        <v>29</v>
      </c>
      <c r="H5" t="s">
        <v>18</v>
      </c>
      <c r="I5" t="s">
        <v>25</v>
      </c>
      <c r="J5" t="s">
        <v>16</v>
      </c>
      <c r="K5" s="3">
        <v>800</v>
      </c>
      <c r="L5" t="s">
        <v>186</v>
      </c>
      <c r="M5" s="3">
        <v>1000</v>
      </c>
      <c r="N5" s="3">
        <v>800</v>
      </c>
      <c r="O5" s="3">
        <v>1000</v>
      </c>
    </row>
    <row r="6" spans="1:15" x14ac:dyDescent="0.2">
      <c r="A6" s="2">
        <v>5</v>
      </c>
      <c r="B6" t="s">
        <v>78</v>
      </c>
      <c r="C6" s="1">
        <v>45179</v>
      </c>
      <c r="D6" s="1">
        <v>45186</v>
      </c>
      <c r="E6" s="2">
        <v>7</v>
      </c>
      <c r="F6" t="s">
        <v>26</v>
      </c>
      <c r="G6" s="2">
        <v>26</v>
      </c>
      <c r="H6" t="s">
        <v>18</v>
      </c>
      <c r="I6" t="s">
        <v>27</v>
      </c>
      <c r="J6" t="s">
        <v>28</v>
      </c>
      <c r="K6" s="3" t="s">
        <v>139</v>
      </c>
      <c r="L6" t="s">
        <v>29</v>
      </c>
      <c r="M6" s="3">
        <v>200</v>
      </c>
      <c r="N6" s="3">
        <f>INT(LEFT(K6,3))</f>
        <v>900</v>
      </c>
      <c r="O6" s="3">
        <v>200</v>
      </c>
    </row>
    <row r="7" spans="1:15" x14ac:dyDescent="0.2">
      <c r="A7" s="2">
        <v>6</v>
      </c>
      <c r="B7" t="s">
        <v>88</v>
      </c>
      <c r="C7" s="1">
        <v>45204</v>
      </c>
      <c r="D7" s="1">
        <v>45209</v>
      </c>
      <c r="E7" s="2">
        <v>5</v>
      </c>
      <c r="F7" t="s">
        <v>30</v>
      </c>
      <c r="G7" s="2">
        <v>42</v>
      </c>
      <c r="H7" t="s">
        <v>14</v>
      </c>
      <c r="I7" t="s">
        <v>15</v>
      </c>
      <c r="J7" t="s">
        <v>16</v>
      </c>
      <c r="K7" s="3">
        <v>400</v>
      </c>
      <c r="L7" t="s">
        <v>186</v>
      </c>
      <c r="M7" s="3">
        <v>800</v>
      </c>
      <c r="N7" s="3">
        <f>INT(LEFT(K7,4))</f>
        <v>400</v>
      </c>
      <c r="O7" s="3">
        <v>800</v>
      </c>
    </row>
    <row r="8" spans="1:15" x14ac:dyDescent="0.2">
      <c r="A8" s="2">
        <v>7</v>
      </c>
      <c r="B8" t="s">
        <v>74</v>
      </c>
      <c r="C8" s="1">
        <v>45250</v>
      </c>
      <c r="D8" s="1">
        <v>45260</v>
      </c>
      <c r="E8" s="2">
        <v>10</v>
      </c>
      <c r="F8" t="s">
        <v>31</v>
      </c>
      <c r="G8" s="2">
        <v>33</v>
      </c>
      <c r="H8" t="s">
        <v>18</v>
      </c>
      <c r="I8" t="s">
        <v>32</v>
      </c>
      <c r="J8" t="s">
        <v>33</v>
      </c>
      <c r="K8" s="3">
        <v>600</v>
      </c>
      <c r="L8" t="s">
        <v>186</v>
      </c>
      <c r="M8" s="3">
        <v>1200</v>
      </c>
      <c r="N8" s="3">
        <v>600</v>
      </c>
      <c r="O8" s="3">
        <v>1200</v>
      </c>
    </row>
    <row r="9" spans="1:15" x14ac:dyDescent="0.2">
      <c r="A9" s="2">
        <v>8</v>
      </c>
      <c r="B9" t="str">
        <f>_xlfn.CONCAT(B$104)</f>
        <v>Greece</v>
      </c>
      <c r="C9" s="1">
        <v>45296</v>
      </c>
      <c r="D9" s="1">
        <v>45303</v>
      </c>
      <c r="E9" s="2">
        <v>7</v>
      </c>
      <c r="F9" t="s">
        <v>34</v>
      </c>
      <c r="G9" s="2">
        <v>25</v>
      </c>
      <c r="H9" t="s">
        <v>14</v>
      </c>
      <c r="I9" t="s">
        <v>35</v>
      </c>
      <c r="J9" t="s">
        <v>28</v>
      </c>
      <c r="K9" s="3">
        <v>700</v>
      </c>
      <c r="L9" t="s">
        <v>186</v>
      </c>
      <c r="M9" s="3">
        <v>600</v>
      </c>
      <c r="N9" s="3">
        <v>700</v>
      </c>
      <c r="O9" s="3">
        <v>600</v>
      </c>
    </row>
    <row r="10" spans="1:15" x14ac:dyDescent="0.2">
      <c r="A10" s="2">
        <v>9</v>
      </c>
      <c r="B10" t="s">
        <v>67</v>
      </c>
      <c r="C10" s="1">
        <v>45336</v>
      </c>
      <c r="D10" s="1">
        <v>45343</v>
      </c>
      <c r="E10" s="2">
        <v>7</v>
      </c>
      <c r="F10" t="s">
        <v>36</v>
      </c>
      <c r="G10" s="2">
        <v>31</v>
      </c>
      <c r="H10" t="s">
        <v>18</v>
      </c>
      <c r="I10" t="s">
        <v>37</v>
      </c>
      <c r="J10" t="s">
        <v>16</v>
      </c>
      <c r="K10" s="3">
        <v>1100</v>
      </c>
      <c r="L10" t="s">
        <v>29</v>
      </c>
      <c r="M10" s="3">
        <v>200</v>
      </c>
      <c r="N10" s="3">
        <v>1100</v>
      </c>
      <c r="O10" s="3">
        <v>200</v>
      </c>
    </row>
    <row r="11" spans="1:15" x14ac:dyDescent="0.2">
      <c r="A11" s="2">
        <v>10</v>
      </c>
      <c r="B11" t="str">
        <f>_xlfn.CONCAT(B$121)</f>
        <v>France</v>
      </c>
      <c r="C11" s="1">
        <v>45361</v>
      </c>
      <c r="D11" s="1">
        <v>45368</v>
      </c>
      <c r="E11" s="2">
        <v>7</v>
      </c>
      <c r="F11" t="s">
        <v>38</v>
      </c>
      <c r="G11" s="2">
        <v>39</v>
      </c>
      <c r="H11" t="s">
        <v>14</v>
      </c>
      <c r="I11" t="s">
        <v>39</v>
      </c>
      <c r="J11" t="s">
        <v>20</v>
      </c>
      <c r="K11" s="3">
        <v>1100</v>
      </c>
      <c r="L11" t="s">
        <v>186</v>
      </c>
      <c r="M11" s="3">
        <v>800</v>
      </c>
      <c r="N11" s="3">
        <v>1100</v>
      </c>
      <c r="O11" s="3">
        <v>800</v>
      </c>
    </row>
    <row r="12" spans="1:15" x14ac:dyDescent="0.2">
      <c r="A12" s="2">
        <v>11</v>
      </c>
      <c r="B12" t="str">
        <f>RIGHT($B13,9)</f>
        <v>Mexico</v>
      </c>
      <c r="C12" s="1">
        <v>45383</v>
      </c>
      <c r="D12" s="1">
        <v>45390</v>
      </c>
      <c r="E12" s="2">
        <v>7</v>
      </c>
      <c r="F12" t="s">
        <v>40</v>
      </c>
      <c r="G12" s="2">
        <v>27</v>
      </c>
      <c r="H12" t="s">
        <v>18</v>
      </c>
      <c r="I12" t="s">
        <v>41</v>
      </c>
      <c r="J12" t="s">
        <v>16</v>
      </c>
      <c r="K12" s="3">
        <v>2500</v>
      </c>
      <c r="L12" t="s">
        <v>186</v>
      </c>
      <c r="M12" s="3">
        <v>500</v>
      </c>
      <c r="N12" s="3">
        <v>2500</v>
      </c>
      <c r="O12" s="3">
        <v>500</v>
      </c>
    </row>
    <row r="13" spans="1:15" x14ac:dyDescent="0.2">
      <c r="A13" s="2">
        <v>12</v>
      </c>
      <c r="B13" t="s">
        <v>82</v>
      </c>
      <c r="C13" s="1">
        <v>45427</v>
      </c>
      <c r="D13" s="1">
        <v>45434</v>
      </c>
      <c r="E13" s="2">
        <v>7</v>
      </c>
      <c r="F13" t="s">
        <v>42</v>
      </c>
      <c r="G13" s="2">
        <v>36</v>
      </c>
      <c r="H13" t="s">
        <v>14</v>
      </c>
      <c r="I13" t="s">
        <v>43</v>
      </c>
      <c r="J13" t="s">
        <v>28</v>
      </c>
      <c r="K13" s="3" t="s">
        <v>128</v>
      </c>
      <c r="L13" t="s">
        <v>29</v>
      </c>
      <c r="M13" s="3">
        <v>100</v>
      </c>
      <c r="N13" s="3">
        <f>INT(LEFT(K13,4))</f>
        <v>1200</v>
      </c>
      <c r="O13" s="3">
        <v>100</v>
      </c>
    </row>
    <row r="14" spans="1:15" x14ac:dyDescent="0.2">
      <c r="A14" s="2">
        <v>13</v>
      </c>
      <c r="B14" t="s">
        <v>71</v>
      </c>
      <c r="C14" s="1">
        <v>45453</v>
      </c>
      <c r="D14" s="1">
        <v>45461</v>
      </c>
      <c r="E14" s="2">
        <v>8</v>
      </c>
      <c r="F14" t="s">
        <v>44</v>
      </c>
      <c r="G14" s="2">
        <v>29</v>
      </c>
      <c r="H14" t="s">
        <v>18</v>
      </c>
      <c r="I14" t="s">
        <v>45</v>
      </c>
      <c r="J14" t="s">
        <v>20</v>
      </c>
      <c r="K14" s="3">
        <v>1000</v>
      </c>
      <c r="L14" t="s">
        <v>186</v>
      </c>
      <c r="M14" s="3">
        <v>1200</v>
      </c>
      <c r="N14" s="3">
        <v>1000</v>
      </c>
      <c r="O14" s="3">
        <v>1200</v>
      </c>
    </row>
    <row r="15" spans="1:15" x14ac:dyDescent="0.2">
      <c r="A15" s="2">
        <v>14</v>
      </c>
      <c r="B15" t="s">
        <v>71</v>
      </c>
      <c r="C15" s="1">
        <v>45474</v>
      </c>
      <c r="D15" s="1">
        <v>45483</v>
      </c>
      <c r="E15" s="2">
        <v>9</v>
      </c>
      <c r="F15" t="s">
        <v>46</v>
      </c>
      <c r="G15" s="2">
        <v>48</v>
      </c>
      <c r="H15" t="s">
        <v>14</v>
      </c>
      <c r="I15" t="s">
        <v>47</v>
      </c>
      <c r="J15" t="s">
        <v>16</v>
      </c>
      <c r="K15" s="3">
        <v>1200</v>
      </c>
      <c r="L15" t="s">
        <v>186</v>
      </c>
      <c r="M15" s="3">
        <v>700</v>
      </c>
      <c r="N15" s="3">
        <v>1200</v>
      </c>
      <c r="O15" s="3">
        <v>700</v>
      </c>
    </row>
    <row r="16" spans="1:15" x14ac:dyDescent="0.2">
      <c r="A16" s="2">
        <v>15</v>
      </c>
      <c r="B16" t="str">
        <f>_xlfn.CONCAT(B$73)</f>
        <v>France</v>
      </c>
      <c r="C16" s="1">
        <v>45524</v>
      </c>
      <c r="D16" s="1">
        <v>45531</v>
      </c>
      <c r="E16" s="2">
        <v>7</v>
      </c>
      <c r="F16" t="s">
        <v>48</v>
      </c>
      <c r="G16" s="2">
        <v>26</v>
      </c>
      <c r="H16" t="s">
        <v>18</v>
      </c>
      <c r="I16" t="s">
        <v>49</v>
      </c>
      <c r="J16" t="s">
        <v>50</v>
      </c>
      <c r="K16" s="3">
        <v>3000</v>
      </c>
      <c r="L16" t="s">
        <v>186</v>
      </c>
      <c r="M16" s="3">
        <v>400</v>
      </c>
      <c r="N16" s="3">
        <v>3000</v>
      </c>
      <c r="O16" s="3">
        <v>400</v>
      </c>
    </row>
    <row r="17" spans="1:15" x14ac:dyDescent="0.2">
      <c r="A17" s="2">
        <v>16</v>
      </c>
      <c r="B17" t="s">
        <v>67</v>
      </c>
      <c r="C17" s="1">
        <v>45540</v>
      </c>
      <c r="D17" s="1">
        <v>45547</v>
      </c>
      <c r="E17" s="2">
        <v>7</v>
      </c>
      <c r="F17" t="s">
        <v>51</v>
      </c>
      <c r="G17" s="2">
        <v>32</v>
      </c>
      <c r="H17" t="s">
        <v>14</v>
      </c>
      <c r="I17" t="s">
        <v>52</v>
      </c>
      <c r="J17" t="s">
        <v>16</v>
      </c>
      <c r="K17" s="3">
        <v>4000</v>
      </c>
      <c r="L17" t="s">
        <v>29</v>
      </c>
      <c r="M17" s="3">
        <v>150</v>
      </c>
      <c r="N17" s="3">
        <v>4000</v>
      </c>
      <c r="O17" s="3">
        <v>150</v>
      </c>
    </row>
    <row r="18" spans="1:15" x14ac:dyDescent="0.2">
      <c r="A18" s="2">
        <v>17</v>
      </c>
      <c r="B18" t="s">
        <v>197</v>
      </c>
      <c r="C18" s="1">
        <v>45170</v>
      </c>
      <c r="D18" s="1">
        <v>45179</v>
      </c>
      <c r="E18" s="2">
        <v>9</v>
      </c>
      <c r="F18" t="s">
        <v>24</v>
      </c>
      <c r="G18" s="2">
        <v>30</v>
      </c>
      <c r="H18" t="s">
        <v>18</v>
      </c>
      <c r="I18" t="s">
        <v>15</v>
      </c>
      <c r="J18" t="s">
        <v>16</v>
      </c>
      <c r="K18" s="3">
        <v>200</v>
      </c>
      <c r="L18" t="s">
        <v>186</v>
      </c>
      <c r="M18" s="3">
        <v>400</v>
      </c>
      <c r="N18" s="3">
        <f>INT(LEFT(K18,3))</f>
        <v>200</v>
      </c>
      <c r="O18" s="3">
        <v>400</v>
      </c>
    </row>
    <row r="19" spans="1:15" x14ac:dyDescent="0.2">
      <c r="A19" s="2">
        <v>18</v>
      </c>
      <c r="B19" t="str">
        <f>_xlfn.CONCAT(B$93)</f>
        <v>Spain</v>
      </c>
      <c r="C19" s="1">
        <v>45153</v>
      </c>
      <c r="D19" s="1">
        <v>45163</v>
      </c>
      <c r="E19" s="2">
        <v>10</v>
      </c>
      <c r="F19" t="s">
        <v>53</v>
      </c>
      <c r="G19" s="2">
        <v>28</v>
      </c>
      <c r="H19" t="s">
        <v>14</v>
      </c>
      <c r="I19" t="s">
        <v>45</v>
      </c>
      <c r="J19" t="s">
        <v>20</v>
      </c>
      <c r="K19" s="3">
        <v>1000</v>
      </c>
      <c r="L19" t="s">
        <v>186</v>
      </c>
      <c r="M19" s="3">
        <v>700</v>
      </c>
      <c r="N19" s="3">
        <v>1000</v>
      </c>
      <c r="O19" s="3">
        <v>700</v>
      </c>
    </row>
    <row r="20" spans="1:15" x14ac:dyDescent="0.2">
      <c r="A20" s="2">
        <v>19</v>
      </c>
      <c r="B20" t="str">
        <f>_xlfn.CONCAT(B$121)</f>
        <v>France</v>
      </c>
      <c r="C20" s="1">
        <v>45129</v>
      </c>
      <c r="D20" s="1">
        <v>45135</v>
      </c>
      <c r="E20" s="2">
        <v>6</v>
      </c>
      <c r="F20" t="s">
        <v>54</v>
      </c>
      <c r="G20" s="2">
        <v>35</v>
      </c>
      <c r="H20" t="s">
        <v>18</v>
      </c>
      <c r="I20" t="s">
        <v>25</v>
      </c>
      <c r="J20" t="s">
        <v>16</v>
      </c>
      <c r="K20" s="3">
        <v>800</v>
      </c>
      <c r="L20" t="s">
        <v>29</v>
      </c>
      <c r="M20" s="3">
        <v>150</v>
      </c>
      <c r="N20" s="3">
        <v>800</v>
      </c>
      <c r="O20" s="3">
        <v>150</v>
      </c>
    </row>
    <row r="21" spans="1:15" x14ac:dyDescent="0.2">
      <c r="A21" s="2">
        <v>20</v>
      </c>
      <c r="B21" t="s">
        <v>74</v>
      </c>
      <c r="C21" s="1">
        <v>45204</v>
      </c>
      <c r="D21" s="1">
        <v>45214</v>
      </c>
      <c r="E21" s="2">
        <v>10</v>
      </c>
      <c r="F21" t="s">
        <v>55</v>
      </c>
      <c r="G21" s="2">
        <v>45</v>
      </c>
      <c r="H21" t="s">
        <v>14</v>
      </c>
      <c r="I21" t="s">
        <v>56</v>
      </c>
      <c r="J21" t="s">
        <v>16</v>
      </c>
      <c r="K21" s="3">
        <v>1400</v>
      </c>
      <c r="L21" t="s">
        <v>186</v>
      </c>
      <c r="M21" s="3">
        <v>800</v>
      </c>
      <c r="N21" s="3">
        <v>1400</v>
      </c>
      <c r="O21" s="3">
        <v>800</v>
      </c>
    </row>
    <row r="22" spans="1:15" x14ac:dyDescent="0.2">
      <c r="A22" s="2">
        <v>21</v>
      </c>
      <c r="B22" t="str">
        <f>_xlfn.CONCAT(B$83)</f>
        <v>France</v>
      </c>
      <c r="C22" s="1">
        <v>45250</v>
      </c>
      <c r="D22" s="1">
        <v>45255</v>
      </c>
      <c r="E22" s="2">
        <v>5</v>
      </c>
      <c r="F22" t="s">
        <v>57</v>
      </c>
      <c r="G22" s="2">
        <v>27</v>
      </c>
      <c r="H22" t="s">
        <v>18</v>
      </c>
      <c r="I22" t="s">
        <v>15</v>
      </c>
      <c r="J22" t="s">
        <v>28</v>
      </c>
      <c r="K22" s="3">
        <v>100</v>
      </c>
      <c r="L22" t="s">
        <v>58</v>
      </c>
      <c r="M22" s="3">
        <v>100</v>
      </c>
      <c r="N22" s="3">
        <f>INT(LEFT(K22,3))</f>
        <v>100</v>
      </c>
      <c r="O22" s="3">
        <v>100</v>
      </c>
    </row>
    <row r="23" spans="1:15" x14ac:dyDescent="0.2">
      <c r="A23" s="2">
        <v>22</v>
      </c>
      <c r="B23" t="s">
        <v>74</v>
      </c>
      <c r="C23" s="1">
        <v>45265</v>
      </c>
      <c r="D23" s="1">
        <v>45272</v>
      </c>
      <c r="E23" s="2">
        <v>7</v>
      </c>
      <c r="F23" t="s">
        <v>59</v>
      </c>
      <c r="G23" s="2">
        <v>32</v>
      </c>
      <c r="H23" t="s">
        <v>14</v>
      </c>
      <c r="I23" t="s">
        <v>32</v>
      </c>
      <c r="J23" t="s">
        <v>16</v>
      </c>
      <c r="K23" s="3">
        <v>600</v>
      </c>
      <c r="L23" t="s">
        <v>186</v>
      </c>
      <c r="M23" s="3">
        <v>600</v>
      </c>
      <c r="N23" s="3">
        <v>600</v>
      </c>
      <c r="O23" s="3">
        <v>600</v>
      </c>
    </row>
    <row r="24" spans="1:15" x14ac:dyDescent="0.2">
      <c r="A24" s="2">
        <v>23</v>
      </c>
      <c r="B24" t="str">
        <f>_xlfn.CONCAT(B$15)</f>
        <v>France</v>
      </c>
      <c r="C24" s="1">
        <v>45231</v>
      </c>
      <c r="D24" s="1">
        <v>45238</v>
      </c>
      <c r="E24" s="2">
        <v>7</v>
      </c>
      <c r="F24" t="s">
        <v>60</v>
      </c>
      <c r="G24" s="2">
        <v>29</v>
      </c>
      <c r="H24" t="s">
        <v>18</v>
      </c>
      <c r="I24" t="s">
        <v>61</v>
      </c>
      <c r="J24" t="s">
        <v>28</v>
      </c>
      <c r="K24" s="3">
        <v>1200</v>
      </c>
      <c r="L24" t="s">
        <v>29</v>
      </c>
      <c r="M24" s="3">
        <v>80</v>
      </c>
      <c r="N24" s="3">
        <v>1200</v>
      </c>
      <c r="O24" s="3">
        <v>80</v>
      </c>
    </row>
    <row r="25" spans="1:15" x14ac:dyDescent="0.2">
      <c r="A25" s="2">
        <v>24</v>
      </c>
      <c r="B25" t="s">
        <v>84</v>
      </c>
      <c r="C25" s="1">
        <v>45184</v>
      </c>
      <c r="D25" s="1">
        <v>45192</v>
      </c>
      <c r="E25" s="2">
        <v>8</v>
      </c>
      <c r="F25" t="s">
        <v>62</v>
      </c>
      <c r="G25" s="2">
        <v>40</v>
      </c>
      <c r="H25" t="s">
        <v>14</v>
      </c>
      <c r="I25" t="s">
        <v>63</v>
      </c>
      <c r="J25" t="s">
        <v>33</v>
      </c>
      <c r="K25" s="3">
        <v>1200</v>
      </c>
      <c r="L25" t="s">
        <v>186</v>
      </c>
      <c r="M25" s="3">
        <v>500</v>
      </c>
      <c r="N25" s="3">
        <v>1200</v>
      </c>
      <c r="O25" s="3">
        <v>500</v>
      </c>
    </row>
    <row r="26" spans="1:15" x14ac:dyDescent="0.2">
      <c r="A26" s="2">
        <v>25</v>
      </c>
      <c r="B26" t="str">
        <f>_xlfn.CONCAT(B$93)</f>
        <v>Spain</v>
      </c>
      <c r="C26" s="1">
        <v>45282</v>
      </c>
      <c r="D26" s="1">
        <v>45288</v>
      </c>
      <c r="E26" s="2">
        <v>6</v>
      </c>
      <c r="F26" t="s">
        <v>64</v>
      </c>
      <c r="G26" s="2">
        <v>24</v>
      </c>
      <c r="H26" t="s">
        <v>18</v>
      </c>
      <c r="I26" t="s">
        <v>27</v>
      </c>
      <c r="J26" t="s">
        <v>16</v>
      </c>
      <c r="K26" s="3" t="s">
        <v>123</v>
      </c>
      <c r="L26" t="s">
        <v>29</v>
      </c>
      <c r="M26" s="3">
        <v>100</v>
      </c>
      <c r="N26" s="3">
        <f>INT(LEFT(K26,3))</f>
        <v>800</v>
      </c>
      <c r="O26" s="3">
        <v>100</v>
      </c>
    </row>
    <row r="27" spans="1:15" x14ac:dyDescent="0.2">
      <c r="A27" s="2">
        <v>26</v>
      </c>
      <c r="B27" t="s">
        <v>157</v>
      </c>
      <c r="C27" s="1">
        <v>45139</v>
      </c>
      <c r="D27" s="1">
        <v>45148</v>
      </c>
      <c r="E27" s="2">
        <v>9</v>
      </c>
      <c r="F27" t="s">
        <v>65</v>
      </c>
      <c r="G27" s="2">
        <v>34</v>
      </c>
      <c r="H27" t="s">
        <v>14</v>
      </c>
      <c r="I27" t="s">
        <v>22</v>
      </c>
      <c r="J27" t="s">
        <v>20</v>
      </c>
      <c r="K27" s="3">
        <v>2000</v>
      </c>
      <c r="L27" t="s">
        <v>186</v>
      </c>
      <c r="M27" s="3">
        <v>800</v>
      </c>
      <c r="N27" s="3">
        <v>2000</v>
      </c>
      <c r="O27" s="3">
        <v>800</v>
      </c>
    </row>
    <row r="28" spans="1:15" x14ac:dyDescent="0.2">
      <c r="A28" s="2">
        <v>27</v>
      </c>
      <c r="B28" t="str">
        <f>_xlfn.CONCAT(B$25)</f>
        <v>Italy</v>
      </c>
      <c r="C28" s="1">
        <v>45219</v>
      </c>
      <c r="D28" s="1">
        <v>45227</v>
      </c>
      <c r="E28" s="2">
        <v>8</v>
      </c>
      <c r="F28" t="s">
        <v>66</v>
      </c>
      <c r="G28" s="2">
        <v>31</v>
      </c>
      <c r="H28" t="s">
        <v>18</v>
      </c>
      <c r="I28" t="s">
        <v>43</v>
      </c>
      <c r="J28" t="s">
        <v>16</v>
      </c>
      <c r="K28" s="3" t="s">
        <v>142</v>
      </c>
      <c r="L28" t="s">
        <v>29</v>
      </c>
      <c r="M28" s="3">
        <v>150</v>
      </c>
      <c r="N28" s="3">
        <f>INT(LEFT(K28,4))</f>
        <v>1500</v>
      </c>
      <c r="O28" s="3">
        <v>150</v>
      </c>
    </row>
    <row r="29" spans="1:15" x14ac:dyDescent="0.2">
      <c r="A29" s="2">
        <v>28</v>
      </c>
      <c r="B29" t="str">
        <f>_xlfn.CONCAT(B$47)</f>
        <v>Cambodia</v>
      </c>
      <c r="C29" s="1">
        <v>44691</v>
      </c>
      <c r="D29" s="1">
        <v>44699</v>
      </c>
      <c r="E29" s="2">
        <v>8</v>
      </c>
      <c r="F29" t="s">
        <v>68</v>
      </c>
      <c r="G29" s="2">
        <v>30</v>
      </c>
      <c r="H29" t="s">
        <v>18</v>
      </c>
      <c r="I29" t="s">
        <v>15</v>
      </c>
      <c r="J29" t="s">
        <v>16</v>
      </c>
      <c r="K29" s="3">
        <v>200</v>
      </c>
      <c r="L29" t="s">
        <v>186</v>
      </c>
      <c r="M29" s="3">
        <v>500</v>
      </c>
      <c r="N29" s="3">
        <f>INT(LEFT(K29,4))</f>
        <v>200</v>
      </c>
      <c r="O29" s="3">
        <v>500</v>
      </c>
    </row>
    <row r="30" spans="1:15" x14ac:dyDescent="0.2">
      <c r="A30" s="2">
        <v>29</v>
      </c>
      <c r="B30" t="s">
        <v>69</v>
      </c>
      <c r="C30" s="1">
        <v>44727</v>
      </c>
      <c r="D30" s="1">
        <v>44734</v>
      </c>
      <c r="E30" s="2">
        <v>7</v>
      </c>
      <c r="F30" t="s">
        <v>70</v>
      </c>
      <c r="G30" s="2">
        <v>45</v>
      </c>
      <c r="H30" t="s">
        <v>14</v>
      </c>
      <c r="I30" t="s">
        <v>19</v>
      </c>
      <c r="J30" t="s">
        <v>33</v>
      </c>
      <c r="K30" s="3">
        <v>900</v>
      </c>
      <c r="L30" t="s">
        <v>29</v>
      </c>
      <c r="M30" s="3">
        <v>150</v>
      </c>
      <c r="N30" s="3">
        <v>900</v>
      </c>
      <c r="O30" s="3">
        <v>150</v>
      </c>
    </row>
    <row r="31" spans="1:15" x14ac:dyDescent="0.2">
      <c r="A31" s="2">
        <v>30</v>
      </c>
      <c r="B31" t="str">
        <f>_xlfn.CONCAT(B$25)</f>
        <v>Italy</v>
      </c>
      <c r="C31" s="1">
        <v>44744</v>
      </c>
      <c r="D31" s="1">
        <v>44753</v>
      </c>
      <c r="E31" s="2">
        <v>9</v>
      </c>
      <c r="F31" t="s">
        <v>72</v>
      </c>
      <c r="G31" s="2">
        <v>25</v>
      </c>
      <c r="H31" t="s">
        <v>14</v>
      </c>
      <c r="I31" t="s">
        <v>22</v>
      </c>
      <c r="J31" t="s">
        <v>28</v>
      </c>
      <c r="K31" s="3">
        <v>1500</v>
      </c>
      <c r="L31" t="s">
        <v>73</v>
      </c>
      <c r="M31" s="3">
        <v>300</v>
      </c>
      <c r="N31" s="3">
        <v>1500</v>
      </c>
      <c r="O31" s="3">
        <v>300</v>
      </c>
    </row>
    <row r="32" spans="1:15" x14ac:dyDescent="0.2">
      <c r="A32" s="2">
        <v>31</v>
      </c>
      <c r="B32" t="s">
        <v>74</v>
      </c>
      <c r="C32" s="1">
        <v>44793</v>
      </c>
      <c r="D32" s="1">
        <v>44806</v>
      </c>
      <c r="E32" s="2">
        <v>13</v>
      </c>
      <c r="F32" t="s">
        <v>75</v>
      </c>
      <c r="G32" s="2">
        <v>28</v>
      </c>
      <c r="H32" t="s">
        <v>18</v>
      </c>
      <c r="I32" t="s">
        <v>25</v>
      </c>
      <c r="J32" t="s">
        <v>16</v>
      </c>
      <c r="K32" s="3">
        <v>800</v>
      </c>
      <c r="L32" t="s">
        <v>73</v>
      </c>
      <c r="M32" s="3">
        <v>500</v>
      </c>
      <c r="N32" s="3">
        <v>800</v>
      </c>
      <c r="O32" s="3">
        <v>500</v>
      </c>
    </row>
    <row r="33" spans="1:15" x14ac:dyDescent="0.2">
      <c r="A33" s="2">
        <v>32</v>
      </c>
      <c r="B33" t="str">
        <f>_xlfn.CONCAT(B$15)</f>
        <v>France</v>
      </c>
      <c r="C33" s="1">
        <v>44809</v>
      </c>
      <c r="D33" s="1">
        <v>44818</v>
      </c>
      <c r="E33" s="2">
        <v>9</v>
      </c>
      <c r="F33" t="s">
        <v>77</v>
      </c>
      <c r="G33" s="2">
        <v>33</v>
      </c>
      <c r="H33" t="s">
        <v>18</v>
      </c>
      <c r="I33" t="s">
        <v>32</v>
      </c>
      <c r="J33" t="s">
        <v>33</v>
      </c>
      <c r="K33" s="3">
        <v>500</v>
      </c>
      <c r="L33" t="s">
        <v>58</v>
      </c>
      <c r="M33" s="3">
        <v>50</v>
      </c>
      <c r="N33" s="3">
        <v>500</v>
      </c>
      <c r="O33" s="3">
        <v>50</v>
      </c>
    </row>
    <row r="34" spans="1:15" x14ac:dyDescent="0.2">
      <c r="A34" s="2">
        <v>33</v>
      </c>
      <c r="B34" t="s">
        <v>71</v>
      </c>
      <c r="C34" s="1">
        <v>44846</v>
      </c>
      <c r="D34" s="1">
        <v>44854</v>
      </c>
      <c r="E34" s="2">
        <v>8</v>
      </c>
      <c r="F34" t="s">
        <v>79</v>
      </c>
      <c r="G34" s="2">
        <v>20</v>
      </c>
      <c r="H34" t="s">
        <v>14</v>
      </c>
      <c r="I34" t="s">
        <v>15</v>
      </c>
      <c r="J34" t="s">
        <v>28</v>
      </c>
      <c r="K34" s="3">
        <v>300</v>
      </c>
      <c r="L34" t="s">
        <v>186</v>
      </c>
      <c r="M34" s="3">
        <v>600</v>
      </c>
      <c r="N34" s="3">
        <f>INT(LEFT(K34,3))</f>
        <v>300</v>
      </c>
      <c r="O34" s="3">
        <v>600</v>
      </c>
    </row>
    <row r="35" spans="1:15" x14ac:dyDescent="0.2">
      <c r="A35" s="2">
        <v>34</v>
      </c>
      <c r="B35" t="str">
        <f>_xlfn.CONCAT(B$30)</f>
        <v>Thailand</v>
      </c>
      <c r="C35" s="1">
        <v>44873</v>
      </c>
      <c r="D35" s="1">
        <v>44880</v>
      </c>
      <c r="E35" s="2">
        <v>7</v>
      </c>
      <c r="F35" t="s">
        <v>81</v>
      </c>
      <c r="G35" s="2">
        <v>37</v>
      </c>
      <c r="H35" t="s">
        <v>18</v>
      </c>
      <c r="I35" t="s">
        <v>19</v>
      </c>
      <c r="J35" t="s">
        <v>16</v>
      </c>
      <c r="K35" s="3">
        <v>900</v>
      </c>
      <c r="L35" t="s">
        <v>29</v>
      </c>
      <c r="M35" s="3">
        <v>100</v>
      </c>
      <c r="N35" s="3">
        <v>900</v>
      </c>
      <c r="O35" s="3">
        <v>100</v>
      </c>
    </row>
    <row r="36" spans="1:15" x14ac:dyDescent="0.2">
      <c r="A36" s="2">
        <v>35</v>
      </c>
      <c r="B36" t="str">
        <f>_xlfn.CONCAT(B$64)</f>
        <v>United Arab Emirates</v>
      </c>
      <c r="C36" s="1">
        <v>44931</v>
      </c>
      <c r="D36" s="1">
        <v>44941</v>
      </c>
      <c r="E36" s="2">
        <v>10</v>
      </c>
      <c r="F36" t="s">
        <v>83</v>
      </c>
      <c r="G36" s="2">
        <v>42</v>
      </c>
      <c r="H36" t="s">
        <v>14</v>
      </c>
      <c r="I36" t="s">
        <v>25</v>
      </c>
      <c r="J36" t="s">
        <v>28</v>
      </c>
      <c r="K36" s="3">
        <v>800</v>
      </c>
      <c r="L36" t="s">
        <v>186</v>
      </c>
      <c r="M36" s="3">
        <v>800</v>
      </c>
      <c r="N36" s="3">
        <v>800</v>
      </c>
      <c r="O36" s="3">
        <v>800</v>
      </c>
    </row>
    <row r="37" spans="1:15" x14ac:dyDescent="0.2">
      <c r="A37" s="2">
        <v>36</v>
      </c>
      <c r="B37" t="s">
        <v>71</v>
      </c>
      <c r="C37" s="1">
        <v>44971</v>
      </c>
      <c r="D37" s="1">
        <v>44977</v>
      </c>
      <c r="E37" s="2">
        <v>6</v>
      </c>
      <c r="F37" t="s">
        <v>85</v>
      </c>
      <c r="G37" s="2">
        <v>31</v>
      </c>
      <c r="H37" t="s">
        <v>18</v>
      </c>
      <c r="I37" t="s">
        <v>15</v>
      </c>
      <c r="J37" t="s">
        <v>33</v>
      </c>
      <c r="K37" s="3">
        <v>180</v>
      </c>
      <c r="L37" t="s">
        <v>29</v>
      </c>
      <c r="M37" s="3">
        <v>120</v>
      </c>
      <c r="N37" s="3">
        <f>INT(LEFT(K37,3))</f>
        <v>180</v>
      </c>
      <c r="O37" s="3">
        <v>120</v>
      </c>
    </row>
    <row r="38" spans="1:15" x14ac:dyDescent="0.2">
      <c r="A38" s="2">
        <v>37</v>
      </c>
      <c r="B38" t="s">
        <v>82</v>
      </c>
      <c r="C38" s="1">
        <v>45008</v>
      </c>
      <c r="D38" s="1">
        <v>45016</v>
      </c>
      <c r="E38" s="2">
        <v>8</v>
      </c>
      <c r="F38" t="s">
        <v>87</v>
      </c>
      <c r="G38" s="2">
        <v>27</v>
      </c>
      <c r="H38" t="s">
        <v>14</v>
      </c>
      <c r="I38" t="s">
        <v>22</v>
      </c>
      <c r="J38" t="s">
        <v>16</v>
      </c>
      <c r="K38" s="3">
        <v>1500</v>
      </c>
      <c r="L38" t="s">
        <v>73</v>
      </c>
      <c r="M38" s="3">
        <v>400</v>
      </c>
      <c r="N38" s="3">
        <v>1500</v>
      </c>
      <c r="O38" s="3">
        <v>400</v>
      </c>
    </row>
    <row r="39" spans="1:15" x14ac:dyDescent="0.2">
      <c r="A39" s="2">
        <v>38</v>
      </c>
      <c r="B39" t="s">
        <v>76</v>
      </c>
      <c r="C39" s="1">
        <v>45035</v>
      </c>
      <c r="D39" s="1">
        <v>45042</v>
      </c>
      <c r="E39" s="2">
        <v>7</v>
      </c>
      <c r="F39" t="s">
        <v>89</v>
      </c>
      <c r="G39" s="2">
        <v>38</v>
      </c>
      <c r="H39" t="s">
        <v>18</v>
      </c>
      <c r="I39" t="s">
        <v>32</v>
      </c>
      <c r="J39" t="s">
        <v>28</v>
      </c>
      <c r="K39" s="3">
        <v>500</v>
      </c>
      <c r="L39" t="s">
        <v>58</v>
      </c>
      <c r="M39" s="3">
        <v>75</v>
      </c>
      <c r="N39" s="3">
        <v>500</v>
      </c>
      <c r="O39" s="3">
        <v>75</v>
      </c>
    </row>
    <row r="40" spans="1:15" x14ac:dyDescent="0.2">
      <c r="A40" s="2">
        <v>39</v>
      </c>
      <c r="B40" t="str">
        <f>_xlfn.CONCAT(B$83)</f>
        <v>France</v>
      </c>
      <c r="C40" s="1">
        <v>44724</v>
      </c>
      <c r="D40" s="1">
        <v>44731</v>
      </c>
      <c r="E40" s="2">
        <v>7</v>
      </c>
      <c r="F40" t="s">
        <v>85</v>
      </c>
      <c r="G40" s="2">
        <v>25</v>
      </c>
      <c r="H40" t="s">
        <v>18</v>
      </c>
      <c r="I40" t="s">
        <v>15</v>
      </c>
      <c r="J40" t="s">
        <v>16</v>
      </c>
      <c r="K40" s="3">
        <v>300</v>
      </c>
      <c r="L40" t="s">
        <v>186</v>
      </c>
      <c r="M40" s="3">
        <v>600</v>
      </c>
      <c r="N40" s="3">
        <f>INT(LEFT(K40,3))</f>
        <v>300</v>
      </c>
      <c r="O40" s="3">
        <v>600</v>
      </c>
    </row>
    <row r="41" spans="1:15" x14ac:dyDescent="0.2">
      <c r="A41" s="2">
        <v>40</v>
      </c>
      <c r="B41" t="s">
        <v>74</v>
      </c>
      <c r="C41" s="1">
        <v>44928</v>
      </c>
      <c r="D41" s="1">
        <v>44935</v>
      </c>
      <c r="E41" s="2">
        <v>7</v>
      </c>
      <c r="F41" t="s">
        <v>90</v>
      </c>
      <c r="G41" s="2">
        <v>33</v>
      </c>
      <c r="H41" t="s">
        <v>14</v>
      </c>
      <c r="I41" t="s">
        <v>19</v>
      </c>
      <c r="J41" t="s">
        <v>28</v>
      </c>
      <c r="K41" s="3">
        <v>900</v>
      </c>
      <c r="L41" t="s">
        <v>29</v>
      </c>
      <c r="M41" s="3">
        <v>150</v>
      </c>
      <c r="N41" s="3">
        <v>900</v>
      </c>
      <c r="O41" s="3">
        <v>150</v>
      </c>
    </row>
    <row r="42" spans="1:15" x14ac:dyDescent="0.2">
      <c r="A42" s="2">
        <v>41</v>
      </c>
      <c r="B42" t="str">
        <f>_xlfn.CONCAT(B$47)</f>
        <v>Cambodia</v>
      </c>
      <c r="C42" s="1">
        <v>44905</v>
      </c>
      <c r="D42" s="1">
        <v>44913</v>
      </c>
      <c r="E42" s="2">
        <v>8</v>
      </c>
      <c r="F42" t="s">
        <v>91</v>
      </c>
      <c r="G42" s="2">
        <v>28</v>
      </c>
      <c r="H42" t="s">
        <v>18</v>
      </c>
      <c r="I42" t="s">
        <v>45</v>
      </c>
      <c r="J42" t="s">
        <v>33</v>
      </c>
      <c r="K42" s="3">
        <v>1000</v>
      </c>
      <c r="L42" t="s">
        <v>186</v>
      </c>
      <c r="M42" s="3">
        <v>900</v>
      </c>
      <c r="N42" s="3">
        <v>1000</v>
      </c>
      <c r="O42" s="3">
        <v>900</v>
      </c>
    </row>
    <row r="43" spans="1:15" x14ac:dyDescent="0.2">
      <c r="A43" s="2">
        <v>42</v>
      </c>
      <c r="B43" t="str">
        <f>_xlfn.CONCAT(B$60)</f>
        <v>France</v>
      </c>
      <c r="C43" s="1">
        <v>45108</v>
      </c>
      <c r="D43" s="1">
        <v>45115</v>
      </c>
      <c r="E43" s="2">
        <v>7</v>
      </c>
      <c r="F43" t="s">
        <v>13</v>
      </c>
      <c r="G43" s="2">
        <v>45</v>
      </c>
      <c r="H43" t="s">
        <v>14</v>
      </c>
      <c r="I43" t="s">
        <v>15</v>
      </c>
      <c r="J43" t="s">
        <v>20</v>
      </c>
      <c r="K43" s="3">
        <v>400</v>
      </c>
      <c r="L43" t="s">
        <v>186</v>
      </c>
      <c r="M43" s="3">
        <v>800</v>
      </c>
      <c r="N43" s="3">
        <f>INT(LEFT(K43,3))</f>
        <v>400</v>
      </c>
      <c r="O43" s="3">
        <v>800</v>
      </c>
    </row>
    <row r="44" spans="1:15" x14ac:dyDescent="0.2">
      <c r="A44" s="2">
        <v>43</v>
      </c>
      <c r="B44" t="s">
        <v>76</v>
      </c>
      <c r="C44" s="1">
        <v>44885</v>
      </c>
      <c r="D44" s="1">
        <v>44892</v>
      </c>
      <c r="E44" s="2">
        <v>7</v>
      </c>
      <c r="F44" t="s">
        <v>92</v>
      </c>
      <c r="G44" s="2">
        <v>30</v>
      </c>
      <c r="H44" t="s">
        <v>18</v>
      </c>
      <c r="I44" t="s">
        <v>35</v>
      </c>
      <c r="J44" t="s">
        <v>16</v>
      </c>
      <c r="K44" s="3">
        <v>700</v>
      </c>
      <c r="L44" t="s">
        <v>186</v>
      </c>
      <c r="M44" s="3">
        <v>700</v>
      </c>
      <c r="N44" s="3">
        <v>700</v>
      </c>
      <c r="O44" s="3">
        <v>700</v>
      </c>
    </row>
    <row r="45" spans="1:15" x14ac:dyDescent="0.2">
      <c r="A45" s="2">
        <v>44</v>
      </c>
      <c r="B45" t="s">
        <v>69</v>
      </c>
      <c r="C45" s="1">
        <v>44990</v>
      </c>
      <c r="D45" s="1">
        <v>44997</v>
      </c>
      <c r="E45" s="2">
        <v>7</v>
      </c>
      <c r="F45" t="s">
        <v>93</v>
      </c>
      <c r="G45" s="2">
        <v>55</v>
      </c>
      <c r="H45" t="s">
        <v>14</v>
      </c>
      <c r="I45" t="s">
        <v>25</v>
      </c>
      <c r="J45" t="s">
        <v>28</v>
      </c>
      <c r="K45" s="3">
        <v>700</v>
      </c>
      <c r="L45" t="s">
        <v>29</v>
      </c>
      <c r="M45" s="3">
        <v>100</v>
      </c>
      <c r="N45" s="3">
        <v>700</v>
      </c>
      <c r="O45" s="3">
        <v>100</v>
      </c>
    </row>
    <row r="46" spans="1:15" x14ac:dyDescent="0.2">
      <c r="A46" s="2">
        <v>45</v>
      </c>
      <c r="B46" t="s">
        <v>67</v>
      </c>
      <c r="C46" s="1">
        <v>45156</v>
      </c>
      <c r="D46" s="1">
        <v>45163</v>
      </c>
      <c r="E46" s="2">
        <v>7</v>
      </c>
      <c r="F46" t="s">
        <v>94</v>
      </c>
      <c r="G46" s="2">
        <v>27</v>
      </c>
      <c r="H46" t="s">
        <v>18</v>
      </c>
      <c r="I46" t="s">
        <v>43</v>
      </c>
      <c r="J46" t="s">
        <v>33</v>
      </c>
      <c r="K46" s="3" t="s">
        <v>126</v>
      </c>
      <c r="L46" t="s">
        <v>186</v>
      </c>
      <c r="M46" s="3">
        <v>600</v>
      </c>
      <c r="N46" s="3">
        <f>INT(LEFT(K46,3))</f>
        <v>200</v>
      </c>
      <c r="O46" s="3">
        <v>600</v>
      </c>
    </row>
    <row r="47" spans="1:15" x14ac:dyDescent="0.2">
      <c r="A47" s="2">
        <v>46</v>
      </c>
      <c r="B47" t="s">
        <v>176</v>
      </c>
      <c r="C47" s="1">
        <v>44819</v>
      </c>
      <c r="D47" s="1">
        <v>44826</v>
      </c>
      <c r="E47" s="2">
        <v>7</v>
      </c>
      <c r="F47" t="s">
        <v>95</v>
      </c>
      <c r="G47" s="2">
        <v>41</v>
      </c>
      <c r="H47" t="s">
        <v>14</v>
      </c>
      <c r="I47" t="s">
        <v>15</v>
      </c>
      <c r="J47" t="s">
        <v>16</v>
      </c>
      <c r="K47" s="3">
        <v>200</v>
      </c>
      <c r="L47" t="s">
        <v>186</v>
      </c>
      <c r="M47" s="3">
        <v>500</v>
      </c>
      <c r="N47" s="3">
        <f>INT(LEFT(K47,3))</f>
        <v>200</v>
      </c>
      <c r="O47" s="3">
        <v>500</v>
      </c>
    </row>
    <row r="48" spans="1:15" x14ac:dyDescent="0.2">
      <c r="A48" s="2">
        <v>47</v>
      </c>
      <c r="B48" t="s">
        <v>82</v>
      </c>
      <c r="C48" s="1">
        <v>45047</v>
      </c>
      <c r="D48" s="1">
        <v>45053</v>
      </c>
      <c r="E48" s="2">
        <v>6</v>
      </c>
      <c r="F48" t="s">
        <v>96</v>
      </c>
      <c r="G48" s="2">
        <v>29</v>
      </c>
      <c r="H48" t="s">
        <v>18</v>
      </c>
      <c r="I48" t="s">
        <v>63</v>
      </c>
      <c r="J48" t="s">
        <v>28</v>
      </c>
      <c r="K48" s="3">
        <v>1200</v>
      </c>
      <c r="L48" t="s">
        <v>58</v>
      </c>
      <c r="M48" s="3">
        <v>50</v>
      </c>
      <c r="N48" s="3">
        <v>1200</v>
      </c>
      <c r="O48" s="3">
        <v>50</v>
      </c>
    </row>
    <row r="49" spans="1:15" x14ac:dyDescent="0.2">
      <c r="A49" s="2">
        <v>48</v>
      </c>
      <c r="B49" t="s">
        <v>76</v>
      </c>
      <c r="C49" s="1">
        <v>44752</v>
      </c>
      <c r="D49" s="1">
        <v>44759</v>
      </c>
      <c r="E49" s="2">
        <v>7</v>
      </c>
      <c r="F49" t="s">
        <v>97</v>
      </c>
      <c r="G49" s="2">
        <v>24</v>
      </c>
      <c r="H49" t="s">
        <v>14</v>
      </c>
      <c r="I49" t="s">
        <v>22</v>
      </c>
      <c r="J49" t="s">
        <v>33</v>
      </c>
      <c r="K49" s="3">
        <v>1500</v>
      </c>
      <c r="L49" t="s">
        <v>29</v>
      </c>
      <c r="M49" s="3">
        <v>150</v>
      </c>
      <c r="N49" s="3">
        <v>1500</v>
      </c>
      <c r="O49" s="3">
        <v>150</v>
      </c>
    </row>
    <row r="50" spans="1:15" x14ac:dyDescent="0.2">
      <c r="A50" s="2">
        <v>49</v>
      </c>
      <c r="B50" t="str">
        <f>_xlfn.CONCAT(B$73)</f>
        <v>France</v>
      </c>
      <c r="C50" s="1">
        <v>45097</v>
      </c>
      <c r="D50" s="1">
        <v>45105</v>
      </c>
      <c r="E50" s="2">
        <v>8</v>
      </c>
      <c r="F50" t="s">
        <v>98</v>
      </c>
      <c r="G50" s="2">
        <v>31</v>
      </c>
      <c r="H50" t="s">
        <v>18</v>
      </c>
      <c r="I50" t="s">
        <v>37</v>
      </c>
      <c r="J50" t="s">
        <v>16</v>
      </c>
      <c r="K50" s="3">
        <v>1100</v>
      </c>
      <c r="L50" t="s">
        <v>186</v>
      </c>
      <c r="M50" s="3">
        <v>700</v>
      </c>
      <c r="N50" s="3">
        <v>1100</v>
      </c>
      <c r="O50" s="3">
        <v>700</v>
      </c>
    </row>
    <row r="51" spans="1:15" x14ac:dyDescent="0.2">
      <c r="A51" s="2">
        <v>50</v>
      </c>
      <c r="B51" t="str">
        <f>_xlfn.CONCAT(B$83)</f>
        <v>France</v>
      </c>
      <c r="C51" s="1">
        <v>45153</v>
      </c>
      <c r="D51" s="1">
        <v>45160</v>
      </c>
      <c r="E51" s="2">
        <v>7</v>
      </c>
      <c r="F51" t="s">
        <v>99</v>
      </c>
      <c r="G51" s="2">
        <v>31</v>
      </c>
      <c r="H51" t="s">
        <v>18</v>
      </c>
      <c r="I51" t="s">
        <v>19</v>
      </c>
      <c r="J51" t="s">
        <v>16</v>
      </c>
      <c r="K51" s="3">
        <v>900</v>
      </c>
      <c r="L51" t="s">
        <v>29</v>
      </c>
      <c r="M51" s="3">
        <v>300</v>
      </c>
      <c r="N51" s="3">
        <v>900</v>
      </c>
      <c r="O51" s="3">
        <v>300</v>
      </c>
    </row>
    <row r="52" spans="1:15" x14ac:dyDescent="0.2">
      <c r="A52" s="2">
        <v>51</v>
      </c>
      <c r="B52" t="s">
        <v>164</v>
      </c>
      <c r="C52" s="1">
        <v>45209</v>
      </c>
      <c r="D52" s="1">
        <v>45219</v>
      </c>
      <c r="E52" s="2">
        <v>10</v>
      </c>
      <c r="F52" t="s">
        <v>65</v>
      </c>
      <c r="G52" s="2">
        <v>25</v>
      </c>
      <c r="H52" t="s">
        <v>14</v>
      </c>
      <c r="I52" t="s">
        <v>15</v>
      </c>
      <c r="J52" t="s">
        <v>33</v>
      </c>
      <c r="K52" s="3">
        <v>150</v>
      </c>
      <c r="L52" t="s">
        <v>58</v>
      </c>
      <c r="M52" s="3">
        <v>100</v>
      </c>
      <c r="N52" s="3">
        <f>INT(LEFT(K52,3))</f>
        <v>150</v>
      </c>
      <c r="O52" s="3">
        <v>100</v>
      </c>
    </row>
    <row r="53" spans="1:15" x14ac:dyDescent="0.2">
      <c r="A53" s="2">
        <v>52</v>
      </c>
      <c r="B53" t="s">
        <v>74</v>
      </c>
      <c r="C53" s="1">
        <v>45235</v>
      </c>
      <c r="D53" s="1">
        <v>45242</v>
      </c>
      <c r="E53" s="2">
        <v>7</v>
      </c>
      <c r="F53" t="s">
        <v>100</v>
      </c>
      <c r="G53" s="2">
        <v>27</v>
      </c>
      <c r="H53" t="s">
        <v>18</v>
      </c>
      <c r="I53" t="str">
        <f>_xlfn.CONCAT($I$118)</f>
        <v>Canadian</v>
      </c>
      <c r="J53" t="s">
        <v>28</v>
      </c>
      <c r="K53" s="3" t="s">
        <v>125</v>
      </c>
      <c r="L53" t="s">
        <v>73</v>
      </c>
      <c r="M53" s="3">
        <v>200</v>
      </c>
      <c r="N53" s="3">
        <f>INT(LEFT(K53,4))</f>
        <v>1000</v>
      </c>
      <c r="O53" s="3">
        <v>200</v>
      </c>
    </row>
    <row r="54" spans="1:15" x14ac:dyDescent="0.2">
      <c r="A54" s="2">
        <v>53</v>
      </c>
      <c r="B54" t="str">
        <f>RIGHT($B$9,9)</f>
        <v>Greece</v>
      </c>
      <c r="C54" s="1">
        <v>45284</v>
      </c>
      <c r="D54" s="1">
        <v>45291</v>
      </c>
      <c r="E54" s="2">
        <v>7</v>
      </c>
      <c r="F54" t="s">
        <v>101</v>
      </c>
      <c r="G54" s="2">
        <v>28</v>
      </c>
      <c r="H54" t="s">
        <v>18</v>
      </c>
      <c r="I54" t="s">
        <v>19</v>
      </c>
      <c r="J54" t="s">
        <v>16</v>
      </c>
      <c r="K54" s="3">
        <v>900</v>
      </c>
      <c r="L54" t="s">
        <v>186</v>
      </c>
      <c r="M54" s="3">
        <v>800</v>
      </c>
      <c r="N54" s="3">
        <v>900</v>
      </c>
      <c r="O54" s="3">
        <v>800</v>
      </c>
    </row>
    <row r="55" spans="1:15" x14ac:dyDescent="0.2">
      <c r="A55" s="2">
        <v>54</v>
      </c>
      <c r="B55" t="s">
        <v>76</v>
      </c>
      <c r="C55" s="1">
        <v>45306</v>
      </c>
      <c r="D55" s="1">
        <v>45315</v>
      </c>
      <c r="E55" s="2">
        <v>9</v>
      </c>
      <c r="F55" t="s">
        <v>102</v>
      </c>
      <c r="G55" s="2">
        <v>30</v>
      </c>
      <c r="H55" t="s">
        <v>14</v>
      </c>
      <c r="I55" t="s">
        <v>35</v>
      </c>
      <c r="J55" t="s">
        <v>28</v>
      </c>
      <c r="K55" s="3">
        <v>700</v>
      </c>
      <c r="L55" t="s">
        <v>29</v>
      </c>
      <c r="M55" s="3">
        <v>150</v>
      </c>
      <c r="N55" s="3">
        <v>700</v>
      </c>
      <c r="O55" s="3">
        <v>150</v>
      </c>
    </row>
    <row r="56" spans="1:15" x14ac:dyDescent="0.2">
      <c r="A56" s="2">
        <v>55</v>
      </c>
      <c r="B56" t="s">
        <v>82</v>
      </c>
      <c r="C56" s="1">
        <v>45323</v>
      </c>
      <c r="D56" s="1">
        <v>45331</v>
      </c>
      <c r="E56" s="2">
        <v>8</v>
      </c>
      <c r="F56" t="s">
        <v>103</v>
      </c>
      <c r="G56" s="2">
        <v>23</v>
      </c>
      <c r="H56" t="s">
        <v>18</v>
      </c>
      <c r="I56" t="s">
        <v>63</v>
      </c>
      <c r="J56" t="s">
        <v>33</v>
      </c>
      <c r="K56" s="3">
        <v>1200</v>
      </c>
      <c r="L56" t="s">
        <v>58</v>
      </c>
      <c r="M56" s="3">
        <v>50</v>
      </c>
      <c r="N56" s="3">
        <v>1200</v>
      </c>
      <c r="O56" s="3">
        <v>50</v>
      </c>
    </row>
    <row r="57" spans="1:15" x14ac:dyDescent="0.2">
      <c r="A57" s="2">
        <v>56</v>
      </c>
      <c r="B57" t="s">
        <v>69</v>
      </c>
      <c r="C57" s="1">
        <v>45366</v>
      </c>
      <c r="D57" s="1">
        <v>45374</v>
      </c>
      <c r="E57" s="2">
        <v>8</v>
      </c>
      <c r="F57" t="s">
        <v>104</v>
      </c>
      <c r="G57" s="2">
        <v>35</v>
      </c>
      <c r="H57" t="s">
        <v>14</v>
      </c>
      <c r="I57" t="s">
        <v>25</v>
      </c>
      <c r="J57" t="s">
        <v>16</v>
      </c>
      <c r="K57" s="3">
        <v>800</v>
      </c>
      <c r="L57" t="s">
        <v>29</v>
      </c>
      <c r="M57" s="3">
        <v>200</v>
      </c>
      <c r="N57" s="3">
        <v>800</v>
      </c>
      <c r="O57" s="3">
        <v>200</v>
      </c>
    </row>
    <row r="58" spans="1:15" x14ac:dyDescent="0.2">
      <c r="A58" s="2">
        <v>57</v>
      </c>
      <c r="B58" t="s">
        <v>67</v>
      </c>
      <c r="C58" s="1">
        <v>45387</v>
      </c>
      <c r="D58" s="1">
        <v>45395</v>
      </c>
      <c r="E58" s="2">
        <v>8</v>
      </c>
      <c r="F58" t="s">
        <v>105</v>
      </c>
      <c r="G58" s="2">
        <v>29</v>
      </c>
      <c r="H58" t="s">
        <v>18</v>
      </c>
      <c r="I58" t="s">
        <v>43</v>
      </c>
      <c r="J58" t="s">
        <v>28</v>
      </c>
      <c r="K58" s="3" t="s">
        <v>142</v>
      </c>
      <c r="L58" t="s">
        <v>73</v>
      </c>
      <c r="M58" s="3">
        <v>250</v>
      </c>
      <c r="N58" s="3">
        <f>INT(LEFT(K58,4))</f>
        <v>1500</v>
      </c>
      <c r="O58" s="3">
        <v>250</v>
      </c>
    </row>
    <row r="59" spans="1:15" x14ac:dyDescent="0.2">
      <c r="A59" s="2">
        <v>58</v>
      </c>
      <c r="B59" t="s">
        <v>67</v>
      </c>
      <c r="C59" s="1">
        <v>45422</v>
      </c>
      <c r="D59" s="1">
        <v>45430</v>
      </c>
      <c r="E59" s="2">
        <v>8</v>
      </c>
      <c r="F59" t="s">
        <v>106</v>
      </c>
      <c r="G59" s="2">
        <v>27</v>
      </c>
      <c r="H59" t="s">
        <v>14</v>
      </c>
      <c r="I59" t="str">
        <f>_xlfn.CONCAT($I$118)</f>
        <v>Canadian</v>
      </c>
      <c r="J59" t="s">
        <v>33</v>
      </c>
      <c r="K59" s="3">
        <v>8000</v>
      </c>
      <c r="L59" t="s">
        <v>107</v>
      </c>
      <c r="M59" s="3">
        <v>20</v>
      </c>
      <c r="N59" s="3">
        <v>8000</v>
      </c>
      <c r="O59" s="3">
        <v>20</v>
      </c>
    </row>
    <row r="60" spans="1:15" x14ac:dyDescent="0.2">
      <c r="A60" s="2">
        <v>59</v>
      </c>
      <c r="B60" t="str">
        <f>_xlfn.CONCAT(B$121)</f>
        <v>France</v>
      </c>
      <c r="C60" s="1">
        <v>45463</v>
      </c>
      <c r="D60" s="1">
        <v>45470</v>
      </c>
      <c r="E60" s="2">
        <v>7</v>
      </c>
      <c r="F60" t="s">
        <v>108</v>
      </c>
      <c r="G60" s="2">
        <v>26</v>
      </c>
      <c r="H60" t="s">
        <v>14</v>
      </c>
      <c r="I60" t="s">
        <v>45</v>
      </c>
      <c r="J60" t="s">
        <v>16</v>
      </c>
      <c r="K60" s="3">
        <v>1000</v>
      </c>
      <c r="L60" t="s">
        <v>73</v>
      </c>
      <c r="M60" s="3">
        <v>300</v>
      </c>
      <c r="N60" s="3">
        <v>1000</v>
      </c>
      <c r="O60" s="3">
        <v>300</v>
      </c>
    </row>
    <row r="61" spans="1:15" x14ac:dyDescent="0.2">
      <c r="A61" s="2">
        <v>60</v>
      </c>
      <c r="B61" t="str">
        <f>_xlfn.CONCAT(B$44)</f>
        <v>Brazil</v>
      </c>
      <c r="C61" s="1">
        <v>45488</v>
      </c>
      <c r="D61" s="1">
        <v>45496</v>
      </c>
      <c r="E61" s="2">
        <v>8</v>
      </c>
      <c r="F61" t="s">
        <v>109</v>
      </c>
      <c r="G61" s="2">
        <v>33</v>
      </c>
      <c r="H61" t="s">
        <v>18</v>
      </c>
      <c r="I61" t="s">
        <v>61</v>
      </c>
      <c r="J61" t="s">
        <v>28</v>
      </c>
      <c r="K61" s="3">
        <v>1300</v>
      </c>
      <c r="L61" t="s">
        <v>29</v>
      </c>
      <c r="M61" s="3">
        <v>100</v>
      </c>
      <c r="N61" s="3">
        <v>1300</v>
      </c>
      <c r="O61" s="3">
        <v>100</v>
      </c>
    </row>
    <row r="62" spans="1:15" x14ac:dyDescent="0.2">
      <c r="A62" s="2">
        <v>61</v>
      </c>
      <c r="B62" t="s">
        <v>201</v>
      </c>
      <c r="C62" s="1">
        <v>44754</v>
      </c>
      <c r="D62" s="1">
        <v>44760</v>
      </c>
      <c r="E62" s="2">
        <v>6</v>
      </c>
      <c r="F62" t="s">
        <v>110</v>
      </c>
      <c r="G62" s="2">
        <v>35</v>
      </c>
      <c r="H62" t="s">
        <v>18</v>
      </c>
      <c r="I62" t="s">
        <v>15</v>
      </c>
      <c r="J62" t="s">
        <v>16</v>
      </c>
      <c r="K62" s="3">
        <v>400</v>
      </c>
      <c r="L62" t="s">
        <v>186</v>
      </c>
      <c r="M62" s="3">
        <v>800</v>
      </c>
      <c r="N62" s="3">
        <f>INT(LEFT(K62,3))</f>
        <v>400</v>
      </c>
      <c r="O62" s="3">
        <v>800</v>
      </c>
    </row>
    <row r="63" spans="1:15" x14ac:dyDescent="0.2">
      <c r="A63" s="2">
        <v>62</v>
      </c>
      <c r="B63" t="str">
        <f>_xlfn.CONCAT(B$15)</f>
        <v>France</v>
      </c>
      <c r="C63" s="1">
        <v>44807</v>
      </c>
      <c r="D63" s="1">
        <v>44814</v>
      </c>
      <c r="E63" s="2">
        <v>7</v>
      </c>
      <c r="F63" t="s">
        <v>55</v>
      </c>
      <c r="G63" s="2">
        <v>28</v>
      </c>
      <c r="H63" t="s">
        <v>14</v>
      </c>
      <c r="I63" t="s">
        <v>56</v>
      </c>
      <c r="J63" t="s">
        <v>33</v>
      </c>
      <c r="K63" s="3">
        <v>1400</v>
      </c>
      <c r="L63" t="s">
        <v>29</v>
      </c>
      <c r="M63" s="3">
        <v>300</v>
      </c>
      <c r="N63" s="3">
        <v>1400</v>
      </c>
      <c r="O63" s="3">
        <v>300</v>
      </c>
    </row>
    <row r="64" spans="1:15" x14ac:dyDescent="0.2">
      <c r="A64" s="2">
        <v>63</v>
      </c>
      <c r="B64" t="s">
        <v>174</v>
      </c>
      <c r="C64" s="1">
        <v>44933</v>
      </c>
      <c r="D64" s="1">
        <v>44942</v>
      </c>
      <c r="E64" s="2">
        <v>9</v>
      </c>
      <c r="F64" t="s">
        <v>111</v>
      </c>
      <c r="G64" s="2">
        <v>29</v>
      </c>
      <c r="H64" t="s">
        <v>18</v>
      </c>
      <c r="I64" t="s">
        <v>25</v>
      </c>
      <c r="J64" t="s">
        <v>112</v>
      </c>
      <c r="K64" s="3">
        <v>800</v>
      </c>
      <c r="L64" t="s">
        <v>73</v>
      </c>
      <c r="M64" s="3">
        <v>200</v>
      </c>
      <c r="N64" s="3">
        <v>800</v>
      </c>
      <c r="O64" s="3">
        <v>200</v>
      </c>
    </row>
    <row r="65" spans="1:15" x14ac:dyDescent="0.2">
      <c r="A65" s="2">
        <v>64</v>
      </c>
      <c r="B65" t="s">
        <v>74</v>
      </c>
      <c r="C65" s="1">
        <v>45100</v>
      </c>
      <c r="D65" s="1">
        <v>45106</v>
      </c>
      <c r="E65" s="2">
        <v>6</v>
      </c>
      <c r="F65" t="s">
        <v>21</v>
      </c>
      <c r="G65" s="2">
        <v>43</v>
      </c>
      <c r="H65" t="s">
        <v>14</v>
      </c>
      <c r="I65" t="s">
        <v>32</v>
      </c>
      <c r="J65" t="s">
        <v>16</v>
      </c>
      <c r="K65" s="3">
        <v>600</v>
      </c>
      <c r="L65" t="s">
        <v>186</v>
      </c>
      <c r="M65" s="3">
        <v>1200</v>
      </c>
      <c r="N65" s="3">
        <v>600</v>
      </c>
      <c r="O65" s="3">
        <v>1200</v>
      </c>
    </row>
    <row r="66" spans="1:15" x14ac:dyDescent="0.2">
      <c r="A66" s="2">
        <v>65</v>
      </c>
      <c r="B66" t="str">
        <f>_xlfn.CONCAT(B$25)</f>
        <v>Italy</v>
      </c>
      <c r="C66" s="1">
        <v>45156</v>
      </c>
      <c r="D66" s="1">
        <v>45163</v>
      </c>
      <c r="E66" s="2">
        <v>7</v>
      </c>
      <c r="F66" t="s">
        <v>113</v>
      </c>
      <c r="G66" s="2">
        <v>31</v>
      </c>
      <c r="H66" t="s">
        <v>18</v>
      </c>
      <c r="I66" t="s">
        <v>43</v>
      </c>
      <c r="J66" t="s">
        <v>112</v>
      </c>
      <c r="K66" s="3" t="s">
        <v>135</v>
      </c>
      <c r="L66" t="s">
        <v>186</v>
      </c>
      <c r="M66" s="3">
        <v>700</v>
      </c>
      <c r="N66" s="3">
        <f>INT(LEFT(K66,3))</f>
        <v>300</v>
      </c>
      <c r="O66" s="3">
        <v>700</v>
      </c>
    </row>
    <row r="67" spans="1:15" x14ac:dyDescent="0.2">
      <c r="A67" s="2">
        <v>66</v>
      </c>
      <c r="B67" t="s">
        <v>86</v>
      </c>
      <c r="C67" s="1">
        <v>45323</v>
      </c>
      <c r="D67" s="1">
        <v>45330</v>
      </c>
      <c r="E67" s="2">
        <v>7</v>
      </c>
      <c r="F67" t="s">
        <v>114</v>
      </c>
      <c r="G67" s="2">
        <v>27</v>
      </c>
      <c r="H67" t="s">
        <v>14</v>
      </c>
      <c r="I67" t="s">
        <v>15</v>
      </c>
      <c r="J67" t="s">
        <v>20</v>
      </c>
      <c r="K67" s="3">
        <v>400</v>
      </c>
      <c r="L67" t="s">
        <v>186</v>
      </c>
      <c r="M67" s="3">
        <v>1000</v>
      </c>
      <c r="N67" s="3">
        <f>INT(LEFT(K67,3))</f>
        <v>400</v>
      </c>
      <c r="O67" s="3">
        <v>1000</v>
      </c>
    </row>
    <row r="68" spans="1:15" x14ac:dyDescent="0.2">
      <c r="A68" s="2">
        <v>67</v>
      </c>
      <c r="B68" t="s">
        <v>198</v>
      </c>
      <c r="C68" s="1">
        <v>45418</v>
      </c>
      <c r="D68" s="1">
        <v>45424</v>
      </c>
      <c r="E68" s="2">
        <v>6</v>
      </c>
      <c r="F68" t="s">
        <v>115</v>
      </c>
      <c r="G68" s="2">
        <v>39</v>
      </c>
      <c r="H68" t="s">
        <v>18</v>
      </c>
      <c r="I68" t="s">
        <v>116</v>
      </c>
      <c r="J68" t="s">
        <v>16</v>
      </c>
      <c r="K68" s="3">
        <v>1200</v>
      </c>
      <c r="L68" t="s">
        <v>29</v>
      </c>
      <c r="M68" s="3">
        <v>200</v>
      </c>
      <c r="N68" s="3">
        <v>1200</v>
      </c>
      <c r="O68" s="3">
        <v>200</v>
      </c>
    </row>
    <row r="69" spans="1:15" x14ac:dyDescent="0.2">
      <c r="A69" s="2">
        <v>68</v>
      </c>
      <c r="B69" t="str">
        <f>_xlfn.CONCAT(B$83)</f>
        <v>France</v>
      </c>
      <c r="C69" s="1">
        <v>45493</v>
      </c>
      <c r="D69" s="1">
        <v>45499</v>
      </c>
      <c r="E69" s="2">
        <v>6</v>
      </c>
      <c r="F69" t="s">
        <v>117</v>
      </c>
      <c r="G69" s="2">
        <v>25</v>
      </c>
      <c r="H69" t="s">
        <v>14</v>
      </c>
      <c r="I69" t="s">
        <v>15</v>
      </c>
      <c r="J69" t="s">
        <v>112</v>
      </c>
      <c r="K69" s="3">
        <v>400</v>
      </c>
      <c r="L69" t="s">
        <v>186</v>
      </c>
      <c r="M69" s="3">
        <v>800</v>
      </c>
      <c r="N69" s="3">
        <f>INT(LEFT(K69,3))</f>
        <v>400</v>
      </c>
      <c r="O69" s="3">
        <v>800</v>
      </c>
    </row>
    <row r="70" spans="1:15" x14ac:dyDescent="0.2">
      <c r="A70" s="2">
        <v>69</v>
      </c>
      <c r="B70" t="s">
        <v>84</v>
      </c>
      <c r="C70" s="1">
        <v>45543</v>
      </c>
      <c r="D70" s="1">
        <v>45551</v>
      </c>
      <c r="E70" s="2">
        <v>8</v>
      </c>
      <c r="F70" t="s">
        <v>118</v>
      </c>
      <c r="G70" s="2">
        <v>33</v>
      </c>
      <c r="H70" t="s">
        <v>18</v>
      </c>
      <c r="I70" t="s">
        <v>63</v>
      </c>
      <c r="J70" t="s">
        <v>33</v>
      </c>
      <c r="K70" s="3">
        <v>1200</v>
      </c>
      <c r="L70" t="s">
        <v>186</v>
      </c>
      <c r="M70" s="3">
        <v>700</v>
      </c>
      <c r="N70" s="3">
        <v>1200</v>
      </c>
      <c r="O70" s="3">
        <v>700</v>
      </c>
    </row>
    <row r="71" spans="1:15" x14ac:dyDescent="0.2">
      <c r="A71" s="2">
        <v>70</v>
      </c>
      <c r="B71" t="s">
        <v>76</v>
      </c>
      <c r="C71" s="1">
        <v>45702</v>
      </c>
      <c r="D71" s="1">
        <v>45708</v>
      </c>
      <c r="E71" s="2">
        <v>6</v>
      </c>
      <c r="F71" t="s">
        <v>119</v>
      </c>
      <c r="G71" s="2">
        <v>41</v>
      </c>
      <c r="H71" t="s">
        <v>14</v>
      </c>
      <c r="I71" t="s">
        <v>61</v>
      </c>
      <c r="J71" t="s">
        <v>16</v>
      </c>
      <c r="K71" s="3">
        <v>1200</v>
      </c>
      <c r="L71" t="s">
        <v>29</v>
      </c>
      <c r="M71" s="3">
        <v>100</v>
      </c>
      <c r="N71" s="3">
        <v>1200</v>
      </c>
      <c r="O71" s="3">
        <v>100</v>
      </c>
    </row>
    <row r="72" spans="1:15" x14ac:dyDescent="0.2">
      <c r="A72" s="2">
        <v>71</v>
      </c>
      <c r="B72" t="s">
        <v>156</v>
      </c>
      <c r="C72" s="1">
        <v>45798</v>
      </c>
      <c r="D72" s="1">
        <v>45806</v>
      </c>
      <c r="E72" s="2">
        <v>8</v>
      </c>
      <c r="F72" t="s">
        <v>120</v>
      </c>
      <c r="G72" s="2">
        <v>37</v>
      </c>
      <c r="H72" t="s">
        <v>18</v>
      </c>
      <c r="I72" t="s">
        <v>25</v>
      </c>
      <c r="J72" t="s">
        <v>20</v>
      </c>
      <c r="K72" s="3">
        <v>800</v>
      </c>
      <c r="L72" t="s">
        <v>186</v>
      </c>
      <c r="M72" s="3">
        <v>1000</v>
      </c>
      <c r="N72" s="3">
        <v>800</v>
      </c>
      <c r="O72" s="3">
        <v>1000</v>
      </c>
    </row>
    <row r="73" spans="1:15" x14ac:dyDescent="0.2">
      <c r="A73" s="2">
        <v>73</v>
      </c>
      <c r="B73" t="s">
        <v>71</v>
      </c>
      <c r="C73" s="1">
        <v>44778</v>
      </c>
      <c r="D73" s="1">
        <v>44785</v>
      </c>
      <c r="E73" s="2">
        <v>7</v>
      </c>
      <c r="F73" t="s">
        <v>121</v>
      </c>
      <c r="G73" s="2">
        <v>35</v>
      </c>
      <c r="H73" t="s">
        <v>18</v>
      </c>
      <c r="I73" t="str">
        <f>_xlfn.CONCAT($I$118)</f>
        <v>Canadian</v>
      </c>
      <c r="J73" t="s">
        <v>20</v>
      </c>
      <c r="K73" s="3" t="s">
        <v>125</v>
      </c>
      <c r="L73" t="s">
        <v>186</v>
      </c>
      <c r="M73" s="2" t="s">
        <v>123</v>
      </c>
      <c r="N73" s="3">
        <f>INT(LEFT(K73,4))</f>
        <v>1000</v>
      </c>
      <c r="O73" s="3">
        <f>INT(LEFT(M73,3))</f>
        <v>800</v>
      </c>
    </row>
    <row r="74" spans="1:15" x14ac:dyDescent="0.2">
      <c r="A74" s="2">
        <v>74</v>
      </c>
      <c r="B74" t="str">
        <f>RIGHT($B75,9)</f>
        <v>France</v>
      </c>
      <c r="C74" s="1">
        <v>44927</v>
      </c>
      <c r="D74" s="1">
        <v>44935</v>
      </c>
      <c r="E74" s="2">
        <v>8</v>
      </c>
      <c r="F74" t="s">
        <v>124</v>
      </c>
      <c r="G74" s="2">
        <v>29</v>
      </c>
      <c r="H74" t="s">
        <v>14</v>
      </c>
      <c r="I74" t="s">
        <v>15</v>
      </c>
      <c r="J74" t="s">
        <v>16</v>
      </c>
      <c r="K74" s="3">
        <v>500</v>
      </c>
      <c r="L74" t="s">
        <v>29</v>
      </c>
      <c r="M74" s="2" t="s">
        <v>126</v>
      </c>
      <c r="N74" s="3">
        <v>500</v>
      </c>
      <c r="O74" s="3">
        <f>INT(LEFT(M74,3))</f>
        <v>200</v>
      </c>
    </row>
    <row r="75" spans="1:15" x14ac:dyDescent="0.2">
      <c r="A75" s="2">
        <v>75</v>
      </c>
      <c r="B75" t="str">
        <f>_xlfn.CONCAT(B$60)</f>
        <v>France</v>
      </c>
      <c r="C75" s="1">
        <v>45031</v>
      </c>
      <c r="D75" s="1">
        <v>45038</v>
      </c>
      <c r="E75" s="2">
        <v>7</v>
      </c>
      <c r="F75" t="s">
        <v>127</v>
      </c>
      <c r="G75" s="2">
        <v>42</v>
      </c>
      <c r="H75" t="s">
        <v>18</v>
      </c>
      <c r="I75" t="s">
        <v>41</v>
      </c>
      <c r="J75" t="s">
        <v>20</v>
      </c>
      <c r="K75" s="3">
        <v>2500</v>
      </c>
      <c r="L75" t="s">
        <v>186</v>
      </c>
      <c r="M75" s="2" t="s">
        <v>122</v>
      </c>
      <c r="N75" s="3">
        <v>2500</v>
      </c>
      <c r="O75" s="3">
        <f>INT(LEFT(M75,3))</f>
        <v>500</v>
      </c>
    </row>
    <row r="76" spans="1:15" x14ac:dyDescent="0.2">
      <c r="A76" s="2">
        <v>76</v>
      </c>
      <c r="B76" t="s">
        <v>80</v>
      </c>
      <c r="C76" s="1">
        <v>45084</v>
      </c>
      <c r="D76" s="1">
        <v>45091</v>
      </c>
      <c r="E76" s="2">
        <v>7</v>
      </c>
      <c r="F76" t="s">
        <v>13</v>
      </c>
      <c r="G76" s="2">
        <v>46</v>
      </c>
      <c r="H76" t="s">
        <v>14</v>
      </c>
      <c r="I76" t="s">
        <v>25</v>
      </c>
      <c r="J76" t="s">
        <v>16</v>
      </c>
      <c r="K76" s="3">
        <v>800</v>
      </c>
      <c r="L76" t="s">
        <v>186</v>
      </c>
      <c r="M76" s="2" t="s">
        <v>129</v>
      </c>
      <c r="N76" s="3">
        <v>800</v>
      </c>
      <c r="O76" s="3">
        <f>INT(LEFT(M76,3))</f>
        <v>700</v>
      </c>
    </row>
    <row r="77" spans="1:15" x14ac:dyDescent="0.2">
      <c r="A77" s="2">
        <v>77</v>
      </c>
      <c r="B77" t="s">
        <v>154</v>
      </c>
      <c r="C77" s="1">
        <v>45170</v>
      </c>
      <c r="D77" s="1">
        <v>45179</v>
      </c>
      <c r="E77" s="2">
        <v>9</v>
      </c>
      <c r="F77" t="s">
        <v>130</v>
      </c>
      <c r="G77" s="2">
        <v>31</v>
      </c>
      <c r="H77" t="s">
        <v>14</v>
      </c>
      <c r="I77" t="s">
        <v>131</v>
      </c>
      <c r="J77" t="s">
        <v>132</v>
      </c>
      <c r="K77" s="3">
        <v>6000</v>
      </c>
      <c r="L77" t="s">
        <v>134</v>
      </c>
      <c r="M77" s="2" t="s">
        <v>135</v>
      </c>
      <c r="N77" s="3">
        <v>6000</v>
      </c>
      <c r="O77" s="3">
        <f>INT(LEFT(M77,3))</f>
        <v>300</v>
      </c>
    </row>
    <row r="78" spans="1:15" x14ac:dyDescent="0.2">
      <c r="A78" s="2">
        <v>78</v>
      </c>
      <c r="B78" t="s">
        <v>71</v>
      </c>
      <c r="C78" s="1">
        <v>45242</v>
      </c>
      <c r="D78" s="1">
        <v>45249</v>
      </c>
      <c r="E78" s="2">
        <v>7</v>
      </c>
      <c r="F78" t="s">
        <v>136</v>
      </c>
      <c r="G78" s="2">
        <v>25</v>
      </c>
      <c r="H78" t="s">
        <v>18</v>
      </c>
      <c r="I78" t="s">
        <v>137</v>
      </c>
      <c r="J78" t="s">
        <v>20</v>
      </c>
      <c r="K78" s="3" t="s">
        <v>122</v>
      </c>
      <c r="L78" t="s">
        <v>186</v>
      </c>
      <c r="M78" s="2" t="s">
        <v>129</v>
      </c>
      <c r="N78" s="3">
        <f>INT(LEFT(K78,3))</f>
        <v>500</v>
      </c>
      <c r="O78" s="3">
        <f>INT(LEFT(M78,3))</f>
        <v>700</v>
      </c>
    </row>
    <row r="79" spans="1:15" x14ac:dyDescent="0.2">
      <c r="A79" s="2">
        <v>79</v>
      </c>
      <c r="B79" t="s">
        <v>74</v>
      </c>
      <c r="C79" s="1">
        <v>45327</v>
      </c>
      <c r="D79" s="1">
        <v>45334</v>
      </c>
      <c r="E79" s="2">
        <v>7</v>
      </c>
      <c r="F79" t="s">
        <v>21</v>
      </c>
      <c r="G79" s="2">
        <v>38</v>
      </c>
      <c r="H79" t="s">
        <v>14</v>
      </c>
      <c r="I79" t="s">
        <v>32</v>
      </c>
      <c r="J79" t="s">
        <v>16</v>
      </c>
      <c r="K79" s="3">
        <v>600</v>
      </c>
      <c r="L79" t="s">
        <v>186</v>
      </c>
      <c r="M79" s="2" t="s">
        <v>138</v>
      </c>
      <c r="N79" s="3">
        <v>600</v>
      </c>
      <c r="O79" s="3">
        <f>INT(LEFT(M79,3))</f>
        <v>600</v>
      </c>
    </row>
    <row r="80" spans="1:15" x14ac:dyDescent="0.2">
      <c r="A80" s="2">
        <v>80</v>
      </c>
      <c r="B80" t="s">
        <v>84</v>
      </c>
      <c r="C80" s="1">
        <v>45427</v>
      </c>
      <c r="D80" s="1">
        <v>45434</v>
      </c>
      <c r="E80" s="2">
        <v>7</v>
      </c>
      <c r="F80" t="s">
        <v>140</v>
      </c>
      <c r="G80" s="2">
        <v>27</v>
      </c>
      <c r="H80" t="s">
        <v>18</v>
      </c>
      <c r="I80" t="s">
        <v>22</v>
      </c>
      <c r="J80" t="s">
        <v>16</v>
      </c>
      <c r="K80" s="3">
        <v>2200</v>
      </c>
      <c r="L80" t="s">
        <v>186</v>
      </c>
      <c r="M80" s="2" t="s">
        <v>133</v>
      </c>
      <c r="N80" s="3">
        <v>2200</v>
      </c>
      <c r="O80" s="3">
        <f>INT(LEFT(M80,3))</f>
        <v>400</v>
      </c>
    </row>
    <row r="81" spans="1:15" x14ac:dyDescent="0.2">
      <c r="A81" s="2">
        <v>81</v>
      </c>
      <c r="B81" t="s">
        <v>157</v>
      </c>
      <c r="C81" s="1">
        <v>45524</v>
      </c>
      <c r="D81" s="1">
        <v>45531</v>
      </c>
      <c r="E81" s="2">
        <v>7</v>
      </c>
      <c r="F81" t="s">
        <v>141</v>
      </c>
      <c r="G81" s="2">
        <v>60</v>
      </c>
      <c r="H81" t="s">
        <v>14</v>
      </c>
      <c r="I81" t="s">
        <v>15</v>
      </c>
      <c r="J81" t="s">
        <v>16</v>
      </c>
      <c r="K81" s="3">
        <v>500</v>
      </c>
      <c r="L81" t="s">
        <v>186</v>
      </c>
      <c r="M81" s="2" t="s">
        <v>125</v>
      </c>
      <c r="N81" s="3">
        <f>INT(LEFT(K81,4))</f>
        <v>500</v>
      </c>
      <c r="O81" s="3">
        <f>INT(LEFT(M81,4))</f>
        <v>1000</v>
      </c>
    </row>
    <row r="82" spans="1:15" x14ac:dyDescent="0.2">
      <c r="A82" s="2">
        <v>82</v>
      </c>
      <c r="B82" t="s">
        <v>154</v>
      </c>
      <c r="C82" s="1">
        <v>45658</v>
      </c>
      <c r="D82" s="1">
        <v>45665</v>
      </c>
      <c r="E82" s="2">
        <v>7</v>
      </c>
      <c r="F82" t="s">
        <v>143</v>
      </c>
      <c r="G82" s="2">
        <v>32</v>
      </c>
      <c r="H82" t="s">
        <v>18</v>
      </c>
      <c r="I82" t="s">
        <v>25</v>
      </c>
      <c r="J82" t="s">
        <v>20</v>
      </c>
      <c r="K82" s="3">
        <v>800</v>
      </c>
      <c r="L82" t="s">
        <v>186</v>
      </c>
      <c r="M82" s="2" t="s">
        <v>123</v>
      </c>
      <c r="N82" s="3">
        <v>800</v>
      </c>
      <c r="O82" s="3">
        <f>INT(LEFT(M82,3))</f>
        <v>800</v>
      </c>
    </row>
    <row r="83" spans="1:15" x14ac:dyDescent="0.2">
      <c r="A83" s="2">
        <v>83</v>
      </c>
      <c r="B83" t="s">
        <v>71</v>
      </c>
      <c r="C83" s="1">
        <v>45762</v>
      </c>
      <c r="D83" s="1">
        <v>45769</v>
      </c>
      <c r="E83" s="2">
        <v>7</v>
      </c>
      <c r="F83" t="s">
        <v>144</v>
      </c>
      <c r="G83" s="2">
        <v>41</v>
      </c>
      <c r="H83" t="s">
        <v>14</v>
      </c>
      <c r="I83" t="s">
        <v>15</v>
      </c>
      <c r="J83" t="s">
        <v>16</v>
      </c>
      <c r="K83" s="3">
        <v>500</v>
      </c>
      <c r="L83" t="s">
        <v>204</v>
      </c>
      <c r="M83" s="2" t="s">
        <v>204</v>
      </c>
      <c r="N83" s="3">
        <v>500</v>
      </c>
      <c r="O83" t="s">
        <v>204</v>
      </c>
    </row>
    <row r="84" spans="1:15" x14ac:dyDescent="0.2">
      <c r="A84" s="2">
        <v>84</v>
      </c>
      <c r="B84" t="s">
        <v>86</v>
      </c>
      <c r="C84" s="1">
        <v>44362</v>
      </c>
      <c r="D84" s="1">
        <v>44367</v>
      </c>
      <c r="E84" s="2">
        <v>6</v>
      </c>
      <c r="F84" t="s">
        <v>13</v>
      </c>
      <c r="G84" s="2">
        <v>35</v>
      </c>
      <c r="H84" t="s">
        <v>14</v>
      </c>
      <c r="I84" t="s">
        <v>15</v>
      </c>
      <c r="J84" t="s">
        <v>16</v>
      </c>
      <c r="K84" s="3">
        <v>500</v>
      </c>
      <c r="L84" t="s">
        <v>186</v>
      </c>
      <c r="M84" s="2" t="s">
        <v>122</v>
      </c>
      <c r="N84" s="3">
        <v>500</v>
      </c>
      <c r="O84" s="3">
        <f>INT(LEFT(M84,3))</f>
        <v>500</v>
      </c>
    </row>
    <row r="85" spans="1:15" x14ac:dyDescent="0.2">
      <c r="A85" s="2">
        <v>85</v>
      </c>
      <c r="B85" t="str">
        <f>_xlfn.CONCAT(B$15)</f>
        <v>France</v>
      </c>
      <c r="C85" s="1">
        <v>44378</v>
      </c>
      <c r="D85" s="1">
        <v>44387</v>
      </c>
      <c r="E85" s="2">
        <v>10</v>
      </c>
      <c r="F85" t="s">
        <v>121</v>
      </c>
      <c r="G85" s="2">
        <v>28</v>
      </c>
      <c r="H85" t="s">
        <v>18</v>
      </c>
      <c r="I85" t="s">
        <v>22</v>
      </c>
      <c r="J85" t="s">
        <v>28</v>
      </c>
      <c r="K85" s="3">
        <v>2200</v>
      </c>
      <c r="L85" t="s">
        <v>29</v>
      </c>
      <c r="M85" s="2" t="s">
        <v>135</v>
      </c>
      <c r="N85" s="3">
        <v>2200</v>
      </c>
      <c r="O85" s="3">
        <f>INT(LEFT(M85,3))</f>
        <v>300</v>
      </c>
    </row>
    <row r="86" spans="1:15" x14ac:dyDescent="0.2">
      <c r="A86" s="2">
        <v>86</v>
      </c>
      <c r="B86" t="s">
        <v>86</v>
      </c>
      <c r="C86" s="1">
        <v>44418</v>
      </c>
      <c r="D86" s="1">
        <v>44428</v>
      </c>
      <c r="E86" s="2">
        <v>11</v>
      </c>
      <c r="F86" t="s">
        <v>66</v>
      </c>
      <c r="G86" s="2">
        <v>42</v>
      </c>
      <c r="H86" t="s">
        <v>18</v>
      </c>
      <c r="I86" t="s">
        <v>43</v>
      </c>
      <c r="J86" t="s">
        <v>20</v>
      </c>
      <c r="K86" s="3" t="s">
        <v>133</v>
      </c>
      <c r="L86" t="s">
        <v>186</v>
      </c>
      <c r="M86" s="2" t="s">
        <v>129</v>
      </c>
      <c r="N86" s="3">
        <f>INT(LEFT(K86,3))</f>
        <v>400</v>
      </c>
      <c r="O86" s="3">
        <f>INT(LEFT(M86,3))</f>
        <v>700</v>
      </c>
    </row>
    <row r="87" spans="1:15" x14ac:dyDescent="0.2">
      <c r="A87" s="2">
        <v>87</v>
      </c>
      <c r="B87" t="s">
        <v>74</v>
      </c>
      <c r="C87" s="1">
        <v>44440</v>
      </c>
      <c r="D87" s="1">
        <v>44449</v>
      </c>
      <c r="E87" s="2">
        <v>9</v>
      </c>
      <c r="F87" t="s">
        <v>21</v>
      </c>
      <c r="G87" s="2">
        <v>45</v>
      </c>
      <c r="H87" t="s">
        <v>14</v>
      </c>
      <c r="I87" t="s">
        <v>32</v>
      </c>
      <c r="J87" t="s">
        <v>16</v>
      </c>
      <c r="K87" s="3">
        <v>600</v>
      </c>
      <c r="L87" t="s">
        <v>186</v>
      </c>
      <c r="M87" s="2" t="s">
        <v>138</v>
      </c>
      <c r="N87" s="3">
        <v>600</v>
      </c>
      <c r="O87" s="3">
        <f>INT(LEFT(M87,3))</f>
        <v>600</v>
      </c>
    </row>
    <row r="88" spans="1:15" x14ac:dyDescent="0.2">
      <c r="A88" s="2">
        <v>88</v>
      </c>
      <c r="B88" t="s">
        <v>71</v>
      </c>
      <c r="C88" s="1">
        <v>44484</v>
      </c>
      <c r="D88" s="1">
        <v>44489</v>
      </c>
      <c r="E88" s="2">
        <v>6</v>
      </c>
      <c r="F88" t="s">
        <v>31</v>
      </c>
      <c r="G88" s="2">
        <v>31</v>
      </c>
      <c r="H88" t="s">
        <v>18</v>
      </c>
      <c r="I88" t="s">
        <v>15</v>
      </c>
      <c r="J88" t="s">
        <v>28</v>
      </c>
      <c r="K88" s="3">
        <v>500</v>
      </c>
      <c r="L88" t="s">
        <v>73</v>
      </c>
      <c r="M88" s="2" t="s">
        <v>126</v>
      </c>
      <c r="N88" s="3">
        <f>INT(LEFT(K88,3))</f>
        <v>500</v>
      </c>
      <c r="O88" s="3">
        <f>INT(LEFT(M88,3))</f>
        <v>200</v>
      </c>
    </row>
    <row r="89" spans="1:15" x14ac:dyDescent="0.2">
      <c r="A89" s="2">
        <v>89</v>
      </c>
      <c r="B89" t="str">
        <f>_xlfn.CONCAT(B90)</f>
        <v>USA</v>
      </c>
      <c r="C89" s="1">
        <v>44520</v>
      </c>
      <c r="D89" s="1">
        <v>44530</v>
      </c>
      <c r="E89" s="2">
        <v>11</v>
      </c>
      <c r="F89" t="s">
        <v>59</v>
      </c>
      <c r="G89" s="2">
        <v>29</v>
      </c>
      <c r="H89" t="s">
        <v>14</v>
      </c>
      <c r="I89" t="s">
        <v>25</v>
      </c>
      <c r="J89" t="s">
        <v>33</v>
      </c>
      <c r="K89" s="3">
        <v>800</v>
      </c>
      <c r="L89" t="s">
        <v>186</v>
      </c>
      <c r="M89" s="2" t="s">
        <v>133</v>
      </c>
      <c r="N89" s="3">
        <v>800</v>
      </c>
      <c r="O89" s="3">
        <f>INT(LEFT(M89,3))</f>
        <v>400</v>
      </c>
    </row>
    <row r="90" spans="1:15" x14ac:dyDescent="0.2">
      <c r="A90" s="2">
        <v>90</v>
      </c>
      <c r="B90" t="s">
        <v>154</v>
      </c>
      <c r="C90" s="1">
        <v>44562</v>
      </c>
      <c r="D90" s="1">
        <v>44569</v>
      </c>
      <c r="E90" s="2">
        <v>8</v>
      </c>
      <c r="F90" t="s">
        <v>145</v>
      </c>
      <c r="G90" s="2">
        <v>24</v>
      </c>
      <c r="H90" t="s">
        <v>18</v>
      </c>
      <c r="I90" t="s">
        <v>39</v>
      </c>
      <c r="J90" t="s">
        <v>16</v>
      </c>
      <c r="K90" s="3">
        <v>1100</v>
      </c>
      <c r="L90" t="s">
        <v>186</v>
      </c>
      <c r="M90" s="2" t="s">
        <v>123</v>
      </c>
      <c r="N90" s="3">
        <v>1100</v>
      </c>
      <c r="O90" s="3">
        <f>INT(LEFT(M90,3))</f>
        <v>800</v>
      </c>
    </row>
    <row r="91" spans="1:15" x14ac:dyDescent="0.2">
      <c r="A91" s="2">
        <v>91</v>
      </c>
      <c r="B91" t="s">
        <v>84</v>
      </c>
      <c r="C91" s="1">
        <v>44606</v>
      </c>
      <c r="D91" s="1">
        <v>44612</v>
      </c>
      <c r="E91" s="2">
        <v>7</v>
      </c>
      <c r="F91" t="s">
        <v>146</v>
      </c>
      <c r="G91" s="2">
        <v>26</v>
      </c>
      <c r="H91" t="s">
        <v>14</v>
      </c>
      <c r="I91" t="s">
        <v>27</v>
      </c>
      <c r="J91" t="s">
        <v>28</v>
      </c>
      <c r="K91" s="3" t="s">
        <v>139</v>
      </c>
      <c r="L91" t="s">
        <v>29</v>
      </c>
      <c r="M91" s="2" t="s">
        <v>147</v>
      </c>
      <c r="N91" s="3">
        <f>INT(LEFT(K91,3))</f>
        <v>900</v>
      </c>
      <c r="O91" s="3">
        <f>INT(LEFT(M91,3))</f>
        <v>100</v>
      </c>
    </row>
    <row r="92" spans="1:15" x14ac:dyDescent="0.2">
      <c r="A92" s="2">
        <v>92</v>
      </c>
      <c r="B92" t="s">
        <v>76</v>
      </c>
      <c r="C92" s="1">
        <v>44630</v>
      </c>
      <c r="D92" s="1">
        <v>44640</v>
      </c>
      <c r="E92" s="2">
        <v>11</v>
      </c>
      <c r="F92" t="s">
        <v>148</v>
      </c>
      <c r="G92" s="2">
        <v>30</v>
      </c>
      <c r="H92" t="s">
        <v>18</v>
      </c>
      <c r="I92" t="s">
        <v>61</v>
      </c>
      <c r="J92" t="s">
        <v>33</v>
      </c>
      <c r="K92" s="3">
        <v>1300</v>
      </c>
      <c r="L92" t="s">
        <v>186</v>
      </c>
      <c r="M92" s="2" t="s">
        <v>149</v>
      </c>
      <c r="N92" s="3">
        <v>1300</v>
      </c>
      <c r="O92" s="3">
        <f>INT(LEFT(M92,3))</f>
        <v>350</v>
      </c>
    </row>
    <row r="93" spans="1:15" x14ac:dyDescent="0.2">
      <c r="A93" s="2">
        <v>93</v>
      </c>
      <c r="B93" t="s">
        <v>86</v>
      </c>
      <c r="C93" s="1">
        <v>44666</v>
      </c>
      <c r="D93" s="1">
        <v>44676</v>
      </c>
      <c r="E93" s="2">
        <v>11</v>
      </c>
      <c r="F93" t="s">
        <v>150</v>
      </c>
      <c r="G93" s="2">
        <v>33</v>
      </c>
      <c r="H93" t="s">
        <v>14</v>
      </c>
      <c r="I93" t="s">
        <v>151</v>
      </c>
      <c r="J93" t="s">
        <v>23</v>
      </c>
      <c r="K93" s="3">
        <v>1200</v>
      </c>
      <c r="L93" t="s">
        <v>73</v>
      </c>
      <c r="M93" s="2" t="s">
        <v>135</v>
      </c>
      <c r="N93" s="3">
        <v>1200</v>
      </c>
      <c r="O93" s="3">
        <f>INT(LEFT(M93,3))</f>
        <v>300</v>
      </c>
    </row>
    <row r="94" spans="1:15" x14ac:dyDescent="0.2">
      <c r="A94" s="2">
        <v>94</v>
      </c>
      <c r="B94" t="s">
        <v>74</v>
      </c>
      <c r="C94" s="1">
        <v>44682</v>
      </c>
      <c r="D94" s="1">
        <v>44691</v>
      </c>
      <c r="E94" s="2">
        <v>10</v>
      </c>
      <c r="F94" t="s">
        <v>152</v>
      </c>
      <c r="G94" s="2">
        <v>27</v>
      </c>
      <c r="H94" t="s">
        <v>18</v>
      </c>
      <c r="I94" t="s">
        <v>22</v>
      </c>
      <c r="J94" t="s">
        <v>16</v>
      </c>
      <c r="K94" s="3">
        <v>2000</v>
      </c>
      <c r="L94" t="s">
        <v>29</v>
      </c>
      <c r="M94" s="2" t="s">
        <v>153</v>
      </c>
      <c r="N94" s="3">
        <v>2000</v>
      </c>
      <c r="O94" s="3">
        <f>INT(LEFT(M94,3))</f>
        <v>150</v>
      </c>
    </row>
    <row r="95" spans="1:15" x14ac:dyDescent="0.2">
      <c r="A95" s="2">
        <v>95</v>
      </c>
      <c r="B95" t="s">
        <v>197</v>
      </c>
      <c r="C95" s="1">
        <v>44727</v>
      </c>
      <c r="D95" s="1">
        <v>44732</v>
      </c>
      <c r="E95" s="2">
        <v>5</v>
      </c>
      <c r="F95" t="s">
        <v>13</v>
      </c>
      <c r="G95" s="2">
        <v>35</v>
      </c>
      <c r="H95" t="s">
        <v>14</v>
      </c>
      <c r="I95" t="str">
        <f>_xlfn.CONCAT($I$7)</f>
        <v>American</v>
      </c>
      <c r="J95" t="s">
        <v>16</v>
      </c>
      <c r="K95" s="3" t="s">
        <v>123</v>
      </c>
      <c r="L95" t="s">
        <v>186</v>
      </c>
      <c r="M95" s="3">
        <v>800</v>
      </c>
      <c r="N95" s="3">
        <f>INT(LEFT(K95,3))</f>
        <v>800</v>
      </c>
      <c r="O95" s="3">
        <v>800</v>
      </c>
    </row>
    <row r="96" spans="1:15" x14ac:dyDescent="0.2">
      <c r="A96" s="2">
        <v>96</v>
      </c>
      <c r="B96" t="str">
        <f>_xlfn.CONCAT(B$15)</f>
        <v>France</v>
      </c>
      <c r="C96" s="1">
        <v>44805</v>
      </c>
      <c r="D96" s="1">
        <v>44814</v>
      </c>
      <c r="E96" s="2">
        <v>9</v>
      </c>
      <c r="F96" t="s">
        <v>155</v>
      </c>
      <c r="G96" s="2">
        <v>28</v>
      </c>
      <c r="H96" t="s">
        <v>18</v>
      </c>
      <c r="I96" t="s">
        <v>19</v>
      </c>
      <c r="J96" t="s">
        <v>28</v>
      </c>
      <c r="K96" s="3">
        <v>900</v>
      </c>
      <c r="L96" t="s">
        <v>29</v>
      </c>
      <c r="M96" s="3">
        <v>200</v>
      </c>
      <c r="N96" s="3">
        <v>900</v>
      </c>
      <c r="O96" s="3">
        <v>200</v>
      </c>
    </row>
    <row r="97" spans="1:15" x14ac:dyDescent="0.2">
      <c r="A97" s="2">
        <v>97</v>
      </c>
      <c r="B97" t="s">
        <v>74</v>
      </c>
      <c r="C97" s="1">
        <v>44888</v>
      </c>
      <c r="D97" s="1">
        <v>44897</v>
      </c>
      <c r="E97" s="2">
        <v>9</v>
      </c>
      <c r="F97" t="s">
        <v>21</v>
      </c>
      <c r="G97" s="2">
        <v>45</v>
      </c>
      <c r="H97" t="s">
        <v>14</v>
      </c>
      <c r="I97" t="str">
        <f>_xlfn.CONCAT($I$118)</f>
        <v>Canadian</v>
      </c>
      <c r="J97" t="s">
        <v>33</v>
      </c>
      <c r="K97" s="3">
        <v>7000</v>
      </c>
      <c r="L97" t="s">
        <v>186</v>
      </c>
      <c r="M97" s="3">
        <v>1200</v>
      </c>
      <c r="N97" s="3">
        <v>7000</v>
      </c>
      <c r="O97" s="3">
        <v>1200</v>
      </c>
    </row>
    <row r="98" spans="1:15" x14ac:dyDescent="0.2">
      <c r="A98" s="2">
        <v>98</v>
      </c>
      <c r="B98" t="str">
        <f>_xlfn.CONCAT(B$25)</f>
        <v>Italy</v>
      </c>
      <c r="C98" s="1">
        <v>44971</v>
      </c>
      <c r="D98" s="1">
        <v>44976</v>
      </c>
      <c r="E98" s="2">
        <v>5</v>
      </c>
      <c r="F98" t="s">
        <v>120</v>
      </c>
      <c r="G98" s="2">
        <v>37</v>
      </c>
      <c r="H98" t="s">
        <v>18</v>
      </c>
      <c r="I98" t="str">
        <f>_xlfn.CONCAT($I$39)</f>
        <v>Australian</v>
      </c>
      <c r="J98" t="s">
        <v>16</v>
      </c>
      <c r="K98" s="3" t="s">
        <v>138</v>
      </c>
      <c r="L98" t="s">
        <v>186</v>
      </c>
      <c r="M98" s="3">
        <v>700</v>
      </c>
      <c r="N98" s="3">
        <f>INT(LEFT(K98,3))</f>
        <v>600</v>
      </c>
      <c r="O98" s="3">
        <v>700</v>
      </c>
    </row>
    <row r="99" spans="1:15" x14ac:dyDescent="0.2">
      <c r="A99" s="2">
        <v>99</v>
      </c>
      <c r="B99" t="str">
        <f>_xlfn.CONCAT(B$83)</f>
        <v>France</v>
      </c>
      <c r="C99" s="1">
        <v>45054</v>
      </c>
      <c r="D99" s="1">
        <v>45060</v>
      </c>
      <c r="E99" s="2">
        <v>6</v>
      </c>
      <c r="F99" t="s">
        <v>158</v>
      </c>
      <c r="G99" s="2">
        <v>50</v>
      </c>
      <c r="H99" t="s">
        <v>14</v>
      </c>
      <c r="I99" t="s">
        <v>45</v>
      </c>
      <c r="J99" t="s">
        <v>28</v>
      </c>
      <c r="K99" s="3">
        <v>1000</v>
      </c>
      <c r="L99" t="s">
        <v>73</v>
      </c>
      <c r="M99" s="3">
        <v>300</v>
      </c>
      <c r="N99" s="3">
        <v>1000</v>
      </c>
      <c r="O99" s="3">
        <v>300</v>
      </c>
    </row>
    <row r="100" spans="1:15" x14ac:dyDescent="0.2">
      <c r="A100" s="2">
        <v>100</v>
      </c>
      <c r="B100" t="str">
        <f>_xlfn.CONCAT(B$15)</f>
        <v>France</v>
      </c>
      <c r="C100" s="1">
        <v>45158</v>
      </c>
      <c r="D100" s="1">
        <v>45165</v>
      </c>
      <c r="E100" s="2">
        <v>7</v>
      </c>
      <c r="F100" t="s">
        <v>159</v>
      </c>
      <c r="G100" s="2">
        <v>31</v>
      </c>
      <c r="H100" t="s">
        <v>18</v>
      </c>
      <c r="I100" t="str">
        <f>_xlfn.CONCAT((I$130))</f>
        <v>South African</v>
      </c>
      <c r="J100" t="s">
        <v>16</v>
      </c>
      <c r="K100" s="3" t="s">
        <v>133</v>
      </c>
      <c r="L100" t="s">
        <v>186</v>
      </c>
      <c r="M100" s="3">
        <v>900</v>
      </c>
      <c r="N100" s="3">
        <f>INT(LEFT(K100,3))</f>
        <v>400</v>
      </c>
      <c r="O100" s="3">
        <v>900</v>
      </c>
    </row>
    <row r="101" spans="1:15" x14ac:dyDescent="0.2">
      <c r="A101" s="2">
        <v>101</v>
      </c>
      <c r="B101" t="s">
        <v>84</v>
      </c>
      <c r="C101" s="1">
        <v>45242</v>
      </c>
      <c r="D101" s="1">
        <v>45250</v>
      </c>
      <c r="E101" s="2">
        <v>8</v>
      </c>
      <c r="F101" t="s">
        <v>160</v>
      </c>
      <c r="G101" s="2">
        <v>42</v>
      </c>
      <c r="H101" t="s">
        <v>14</v>
      </c>
      <c r="I101" t="str">
        <f>_xlfn.CONCAT($I$91)</f>
        <v>Vietnamese</v>
      </c>
      <c r="J101" t="s">
        <v>33</v>
      </c>
      <c r="K101" s="3">
        <v>1400</v>
      </c>
      <c r="L101" t="s">
        <v>29</v>
      </c>
      <c r="M101" s="3">
        <v>100</v>
      </c>
      <c r="N101" s="3">
        <v>1400</v>
      </c>
      <c r="O101" s="3">
        <v>100</v>
      </c>
    </row>
    <row r="102" spans="1:15" x14ac:dyDescent="0.2">
      <c r="A102" s="2">
        <v>102</v>
      </c>
      <c r="B102" t="s">
        <v>157</v>
      </c>
      <c r="C102" s="1">
        <v>45297</v>
      </c>
      <c r="D102" s="1">
        <v>45305</v>
      </c>
      <c r="E102" s="2">
        <v>8</v>
      </c>
      <c r="F102" t="s">
        <v>66</v>
      </c>
      <c r="G102" s="2">
        <v>27</v>
      </c>
      <c r="H102" t="s">
        <v>18</v>
      </c>
      <c r="I102" t="str">
        <f>_xlfn.CONCAT($I$121)</f>
        <v>Korean</v>
      </c>
      <c r="J102" t="s">
        <v>28</v>
      </c>
      <c r="K102" s="3" t="s">
        <v>128</v>
      </c>
      <c r="L102" t="s">
        <v>186</v>
      </c>
      <c r="M102" s="3">
        <v>1500</v>
      </c>
      <c r="N102" s="3">
        <f>INT(LEFT(K102,4))</f>
        <v>1200</v>
      </c>
      <c r="O102" s="3">
        <v>1500</v>
      </c>
    </row>
    <row r="103" spans="1:15" x14ac:dyDescent="0.2">
      <c r="A103" s="2">
        <v>103</v>
      </c>
      <c r="B103" t="s">
        <v>76</v>
      </c>
      <c r="C103" s="1">
        <v>45385</v>
      </c>
      <c r="D103" s="1">
        <v>45392</v>
      </c>
      <c r="E103" s="2">
        <v>7</v>
      </c>
      <c r="F103" t="s">
        <v>161</v>
      </c>
      <c r="G103" s="2">
        <v>33</v>
      </c>
      <c r="H103" t="s">
        <v>14</v>
      </c>
      <c r="I103" t="s">
        <v>35</v>
      </c>
      <c r="J103" t="s">
        <v>16</v>
      </c>
      <c r="K103" s="3">
        <v>700</v>
      </c>
      <c r="L103" t="s">
        <v>73</v>
      </c>
      <c r="M103" s="3">
        <v>400</v>
      </c>
      <c r="N103" s="3">
        <v>700</v>
      </c>
      <c r="O103" s="3">
        <v>400</v>
      </c>
    </row>
    <row r="104" spans="1:15" x14ac:dyDescent="0.2">
      <c r="A104" s="2">
        <v>104</v>
      </c>
      <c r="B104" t="s">
        <v>78</v>
      </c>
      <c r="C104" s="1">
        <v>45495</v>
      </c>
      <c r="D104" s="1">
        <v>45501</v>
      </c>
      <c r="E104" s="2">
        <v>6</v>
      </c>
      <c r="F104" t="s">
        <v>162</v>
      </c>
      <c r="G104" s="2">
        <v>29</v>
      </c>
      <c r="H104" t="s">
        <v>18</v>
      </c>
      <c r="I104" t="str">
        <f>_xlfn.CONCAT($I$118)</f>
        <v>Canadian</v>
      </c>
      <c r="J104" t="s">
        <v>23</v>
      </c>
      <c r="K104" s="3">
        <v>7000</v>
      </c>
      <c r="L104" t="s">
        <v>186</v>
      </c>
      <c r="M104" s="3">
        <v>1000</v>
      </c>
      <c r="N104" s="3">
        <v>7000</v>
      </c>
      <c r="O104" s="3">
        <v>1000</v>
      </c>
    </row>
    <row r="105" spans="1:15" x14ac:dyDescent="0.2">
      <c r="A105" s="2">
        <v>105</v>
      </c>
      <c r="B105" t="str">
        <f>_xlfn.CONCAT(B$73)</f>
        <v>France</v>
      </c>
      <c r="C105" s="1">
        <v>45575</v>
      </c>
      <c r="D105" s="1">
        <v>45582</v>
      </c>
      <c r="E105" s="2">
        <v>7</v>
      </c>
      <c r="F105" t="s">
        <v>163</v>
      </c>
      <c r="G105" s="2">
        <v>41</v>
      </c>
      <c r="H105" t="s">
        <v>14</v>
      </c>
      <c r="I105" t="s">
        <v>47</v>
      </c>
      <c r="J105" t="s">
        <v>16</v>
      </c>
      <c r="K105" s="3">
        <v>1200</v>
      </c>
      <c r="L105" t="s">
        <v>29</v>
      </c>
      <c r="M105" s="3">
        <v>150</v>
      </c>
      <c r="N105" s="3">
        <v>1200</v>
      </c>
      <c r="O105" s="3">
        <v>150</v>
      </c>
    </row>
    <row r="106" spans="1:15" x14ac:dyDescent="0.2">
      <c r="A106" s="2">
        <v>106</v>
      </c>
      <c r="B106" t="s">
        <v>197</v>
      </c>
      <c r="C106" s="1">
        <v>44696</v>
      </c>
      <c r="D106" s="1">
        <v>44701</v>
      </c>
      <c r="E106" s="2">
        <v>5</v>
      </c>
      <c r="F106" t="s">
        <v>13</v>
      </c>
      <c r="G106" s="2">
        <v>35</v>
      </c>
      <c r="H106" t="s">
        <v>14</v>
      </c>
      <c r="I106" t="str">
        <f>_xlfn.CONCAT($I$8)</f>
        <v>Australian</v>
      </c>
      <c r="J106" t="s">
        <v>16</v>
      </c>
      <c r="K106" s="3" t="s">
        <v>123</v>
      </c>
      <c r="L106" t="s">
        <v>186</v>
      </c>
      <c r="M106" s="3">
        <v>800</v>
      </c>
      <c r="N106" s="3">
        <f>INT(LEFT(K106,3))</f>
        <v>800</v>
      </c>
      <c r="O106" s="3">
        <v>800</v>
      </c>
    </row>
    <row r="107" spans="1:15" x14ac:dyDescent="0.2">
      <c r="A107" s="2">
        <v>107</v>
      </c>
      <c r="B107" t="s">
        <v>74</v>
      </c>
      <c r="C107" s="1">
        <v>44805</v>
      </c>
      <c r="D107" s="1">
        <v>44814</v>
      </c>
      <c r="E107" s="2">
        <v>9</v>
      </c>
      <c r="F107" t="s">
        <v>121</v>
      </c>
      <c r="G107" s="2">
        <v>28</v>
      </c>
      <c r="H107" t="s">
        <v>18</v>
      </c>
      <c r="I107" t="str">
        <f>_xlfn.CONCAT($I$117)</f>
        <v>American</v>
      </c>
      <c r="J107" t="s">
        <v>28</v>
      </c>
      <c r="K107" s="3">
        <v>6000</v>
      </c>
      <c r="L107" t="s">
        <v>29</v>
      </c>
      <c r="M107" s="3">
        <v>500</v>
      </c>
      <c r="N107" s="3">
        <v>6000</v>
      </c>
      <c r="O107" s="3">
        <v>500</v>
      </c>
    </row>
    <row r="108" spans="1:15" x14ac:dyDescent="0.2">
      <c r="A108" s="2">
        <v>108</v>
      </c>
      <c r="B108" t="str">
        <f>_xlfn.CONCAT(B$83)</f>
        <v>France</v>
      </c>
      <c r="C108" s="1">
        <v>44732</v>
      </c>
      <c r="D108" s="1">
        <v>44737</v>
      </c>
      <c r="E108" s="2">
        <v>5</v>
      </c>
      <c r="F108" t="s">
        <v>158</v>
      </c>
      <c r="G108" s="2">
        <v>42</v>
      </c>
      <c r="H108" t="s">
        <v>14</v>
      </c>
      <c r="I108" t="str">
        <f>_xlfn.CONCAT($I$70)</f>
        <v>Indian</v>
      </c>
      <c r="J108" t="s">
        <v>16</v>
      </c>
      <c r="K108" s="3">
        <v>1200</v>
      </c>
      <c r="L108" t="s">
        <v>73</v>
      </c>
      <c r="M108" s="3">
        <v>200</v>
      </c>
      <c r="N108" s="3">
        <v>1200</v>
      </c>
      <c r="O108" s="3">
        <v>200</v>
      </c>
    </row>
    <row r="109" spans="1:15" x14ac:dyDescent="0.2">
      <c r="A109" s="2">
        <v>109</v>
      </c>
      <c r="B109" t="s">
        <v>200</v>
      </c>
      <c r="C109" s="1">
        <v>44785</v>
      </c>
      <c r="D109" s="1">
        <v>44793</v>
      </c>
      <c r="E109" s="2">
        <v>8</v>
      </c>
      <c r="F109" t="s">
        <v>165</v>
      </c>
      <c r="G109" s="2">
        <v>30</v>
      </c>
      <c r="H109" t="s">
        <v>18</v>
      </c>
      <c r="I109" t="str">
        <f>_xlfn.CONCAT(($I$130))</f>
        <v>South African</v>
      </c>
      <c r="J109" t="s">
        <v>20</v>
      </c>
      <c r="K109" s="3" t="s">
        <v>122</v>
      </c>
      <c r="L109" t="s">
        <v>186</v>
      </c>
      <c r="M109" s="3">
        <v>1200</v>
      </c>
      <c r="N109" s="3">
        <f>INT(LEFT(K109,3))</f>
        <v>500</v>
      </c>
      <c r="O109" s="3">
        <v>1200</v>
      </c>
    </row>
    <row r="110" spans="1:15" x14ac:dyDescent="0.2">
      <c r="A110" s="2">
        <v>110</v>
      </c>
      <c r="B110" t="s">
        <v>74</v>
      </c>
      <c r="C110" s="1">
        <v>44743</v>
      </c>
      <c r="D110" s="1">
        <v>44752</v>
      </c>
      <c r="E110" s="2">
        <v>9</v>
      </c>
      <c r="F110" t="s">
        <v>65</v>
      </c>
      <c r="G110" s="2">
        <v>26</v>
      </c>
      <c r="H110" t="s">
        <v>14</v>
      </c>
      <c r="I110" t="s">
        <v>19</v>
      </c>
      <c r="J110" t="s">
        <v>33</v>
      </c>
      <c r="K110" s="3">
        <v>900</v>
      </c>
      <c r="L110" t="s">
        <v>186</v>
      </c>
      <c r="M110" s="3">
        <v>900</v>
      </c>
      <c r="N110" s="3">
        <v>900</v>
      </c>
      <c r="O110" s="3">
        <v>900</v>
      </c>
    </row>
    <row r="111" spans="1:15" x14ac:dyDescent="0.2">
      <c r="A111" s="2">
        <v>111</v>
      </c>
      <c r="B111" t="s">
        <v>69</v>
      </c>
      <c r="C111" s="1">
        <v>44722</v>
      </c>
      <c r="D111" s="1">
        <v>44727</v>
      </c>
      <c r="E111" s="2">
        <v>5</v>
      </c>
      <c r="F111" t="s">
        <v>166</v>
      </c>
      <c r="G111" s="2">
        <v>38</v>
      </c>
      <c r="H111" t="s">
        <v>18</v>
      </c>
      <c r="I111" t="s">
        <v>167</v>
      </c>
      <c r="J111" t="s">
        <v>16</v>
      </c>
      <c r="K111" s="3" t="s">
        <v>129</v>
      </c>
      <c r="L111" t="s">
        <v>29</v>
      </c>
      <c r="M111" s="3">
        <v>150</v>
      </c>
      <c r="N111" s="3">
        <f>INT(LEFT(K111,3))</f>
        <v>700</v>
      </c>
      <c r="O111" s="3">
        <v>150</v>
      </c>
    </row>
    <row r="112" spans="1:15" x14ac:dyDescent="0.2">
      <c r="A112" s="2">
        <v>112</v>
      </c>
      <c r="B112" t="s">
        <v>154</v>
      </c>
      <c r="C112" s="1">
        <v>44809</v>
      </c>
      <c r="D112" s="1">
        <v>44816</v>
      </c>
      <c r="E112" s="2">
        <v>7</v>
      </c>
      <c r="F112" t="s">
        <v>168</v>
      </c>
      <c r="G112" s="2">
        <v>45</v>
      </c>
      <c r="H112" t="s">
        <v>14</v>
      </c>
      <c r="I112" t="s">
        <v>169</v>
      </c>
      <c r="J112" t="s">
        <v>23</v>
      </c>
      <c r="K112" s="3">
        <v>5000</v>
      </c>
      <c r="L112" t="s">
        <v>186</v>
      </c>
      <c r="M112" s="3">
        <v>700</v>
      </c>
      <c r="N112" s="3">
        <v>5000</v>
      </c>
      <c r="O112" s="3">
        <v>700</v>
      </c>
    </row>
    <row r="113" spans="1:15" x14ac:dyDescent="0.2">
      <c r="A113" s="2">
        <v>113</v>
      </c>
      <c r="B113" t="s">
        <v>76</v>
      </c>
      <c r="C113" s="1">
        <v>44682</v>
      </c>
      <c r="D113" s="1">
        <v>44689</v>
      </c>
      <c r="E113" s="2">
        <v>7</v>
      </c>
      <c r="F113" t="s">
        <v>170</v>
      </c>
      <c r="G113" s="2">
        <v>31</v>
      </c>
      <c r="H113" t="s">
        <v>18</v>
      </c>
      <c r="I113" t="str">
        <f>_xlfn.CONCAT(($I$85))</f>
        <v>Korean</v>
      </c>
      <c r="J113" t="s">
        <v>16</v>
      </c>
      <c r="K113" s="3">
        <v>1400</v>
      </c>
      <c r="L113" t="s">
        <v>29</v>
      </c>
      <c r="M113" s="3">
        <v>250</v>
      </c>
      <c r="N113" s="3">
        <v>1400</v>
      </c>
      <c r="O113" s="3">
        <v>250</v>
      </c>
    </row>
    <row r="114" spans="1:15" x14ac:dyDescent="0.2">
      <c r="A114" s="2">
        <v>114</v>
      </c>
      <c r="B114" t="s">
        <v>67</v>
      </c>
      <c r="C114" s="1">
        <v>44757</v>
      </c>
      <c r="D114" s="1">
        <v>44764</v>
      </c>
      <c r="E114" s="2">
        <v>7</v>
      </c>
      <c r="F114" t="s">
        <v>171</v>
      </c>
      <c r="G114" s="2">
        <v>27</v>
      </c>
      <c r="H114" t="s">
        <v>14</v>
      </c>
      <c r="I114" t="s">
        <v>203</v>
      </c>
      <c r="J114" t="s">
        <v>28</v>
      </c>
      <c r="K114" s="3">
        <v>1200</v>
      </c>
      <c r="L114" t="s">
        <v>172</v>
      </c>
      <c r="M114" s="3">
        <v>150</v>
      </c>
      <c r="N114" s="3">
        <v>1200</v>
      </c>
      <c r="O114" s="3">
        <v>150</v>
      </c>
    </row>
    <row r="115" spans="1:15" x14ac:dyDescent="0.2">
      <c r="A115" s="2">
        <v>115</v>
      </c>
      <c r="B115" t="s">
        <v>154</v>
      </c>
      <c r="C115" s="1">
        <v>44798</v>
      </c>
      <c r="D115" s="1">
        <v>44803</v>
      </c>
      <c r="E115" s="2">
        <v>5</v>
      </c>
      <c r="F115" t="s">
        <v>173</v>
      </c>
      <c r="G115" s="2">
        <v>29</v>
      </c>
      <c r="H115" t="s">
        <v>18</v>
      </c>
      <c r="I115" t="s">
        <v>174</v>
      </c>
      <c r="J115" t="s">
        <v>16</v>
      </c>
      <c r="K115" s="3" t="s">
        <v>129</v>
      </c>
      <c r="L115" t="s">
        <v>73</v>
      </c>
      <c r="M115" s="3">
        <v>300</v>
      </c>
      <c r="N115" s="3">
        <f>INT(LEFT(K115,3))</f>
        <v>700</v>
      </c>
      <c r="O115" s="3">
        <v>300</v>
      </c>
    </row>
    <row r="116" spans="1:15" x14ac:dyDescent="0.2">
      <c r="A116" s="2">
        <v>116</v>
      </c>
      <c r="B116" t="s">
        <v>76</v>
      </c>
      <c r="C116" s="1">
        <v>44814</v>
      </c>
      <c r="D116" s="1">
        <v>44819</v>
      </c>
      <c r="E116" s="2">
        <v>5</v>
      </c>
      <c r="F116" t="s">
        <v>175</v>
      </c>
      <c r="G116" s="2">
        <v>33</v>
      </c>
      <c r="H116" t="s">
        <v>14</v>
      </c>
      <c r="I116" t="s">
        <v>176</v>
      </c>
      <c r="J116" t="s">
        <v>33</v>
      </c>
      <c r="K116" s="3">
        <v>900</v>
      </c>
      <c r="L116" t="s">
        <v>186</v>
      </c>
      <c r="M116" s="3">
        <v>500</v>
      </c>
      <c r="N116" s="3">
        <v>900</v>
      </c>
      <c r="O116" s="3">
        <v>500</v>
      </c>
    </row>
    <row r="117" spans="1:15" x14ac:dyDescent="0.2">
      <c r="A117" s="2">
        <v>117</v>
      </c>
      <c r="B117" t="s">
        <v>78</v>
      </c>
      <c r="C117" s="1">
        <v>44597</v>
      </c>
      <c r="D117" s="1">
        <v>44606</v>
      </c>
      <c r="E117" s="2">
        <v>9</v>
      </c>
      <c r="F117" t="s">
        <v>68</v>
      </c>
      <c r="G117" s="2">
        <v>32</v>
      </c>
      <c r="H117" t="s">
        <v>18</v>
      </c>
      <c r="I117" t="s">
        <v>15</v>
      </c>
      <c r="J117" t="s">
        <v>16</v>
      </c>
      <c r="K117" s="3">
        <v>400</v>
      </c>
      <c r="L117" t="s">
        <v>186</v>
      </c>
      <c r="M117" s="3">
        <v>700</v>
      </c>
      <c r="N117" s="3">
        <f>INT(LEFT(K117,4))</f>
        <v>400</v>
      </c>
      <c r="O117" s="3">
        <v>700</v>
      </c>
    </row>
    <row r="118" spans="1:15" x14ac:dyDescent="0.2">
      <c r="A118" s="2">
        <v>118</v>
      </c>
      <c r="B118" t="str">
        <f>_xlfn.CONCAT(B$83)</f>
        <v>France</v>
      </c>
      <c r="C118" s="1">
        <v>44635</v>
      </c>
      <c r="D118" s="1">
        <v>44642</v>
      </c>
      <c r="E118" s="2">
        <v>7</v>
      </c>
      <c r="F118" t="s">
        <v>70</v>
      </c>
      <c r="G118" s="2">
        <v>47</v>
      </c>
      <c r="H118" t="s">
        <v>14</v>
      </c>
      <c r="I118" t="s">
        <v>19</v>
      </c>
      <c r="J118" t="s">
        <v>16</v>
      </c>
      <c r="K118" s="3">
        <v>900</v>
      </c>
      <c r="L118" t="s">
        <v>29</v>
      </c>
      <c r="M118" s="3">
        <v>500</v>
      </c>
      <c r="N118" s="3">
        <v>900</v>
      </c>
      <c r="O118" s="3">
        <v>500</v>
      </c>
    </row>
    <row r="119" spans="1:15" x14ac:dyDescent="0.2">
      <c r="A119" s="2">
        <v>119</v>
      </c>
      <c r="B119" t="s">
        <v>74</v>
      </c>
      <c r="C119" s="1">
        <v>44682</v>
      </c>
      <c r="D119" s="1">
        <v>44693</v>
      </c>
      <c r="E119" s="2">
        <v>11</v>
      </c>
      <c r="F119" t="s">
        <v>177</v>
      </c>
      <c r="G119" s="2">
        <v>26</v>
      </c>
      <c r="H119" t="s">
        <v>18</v>
      </c>
      <c r="I119" t="s">
        <v>45</v>
      </c>
      <c r="J119" t="s">
        <v>28</v>
      </c>
      <c r="K119" s="3">
        <v>1000</v>
      </c>
      <c r="L119" t="s">
        <v>186</v>
      </c>
      <c r="M119" s="3">
        <v>1000</v>
      </c>
      <c r="N119" s="3">
        <v>1000</v>
      </c>
      <c r="O119" s="3">
        <v>1000</v>
      </c>
    </row>
    <row r="120" spans="1:15" x14ac:dyDescent="0.2">
      <c r="A120" s="2">
        <v>120</v>
      </c>
      <c r="B120" t="str">
        <f>_xlfn.CONCAT(B$44)</f>
        <v>Brazil</v>
      </c>
      <c r="C120" s="1">
        <v>44722</v>
      </c>
      <c r="D120" s="1">
        <v>44729</v>
      </c>
      <c r="E120" s="2">
        <v>7</v>
      </c>
      <c r="F120" t="s">
        <v>21</v>
      </c>
      <c r="G120" s="2">
        <v>38</v>
      </c>
      <c r="H120" t="s">
        <v>14</v>
      </c>
      <c r="I120" t="s">
        <v>22</v>
      </c>
      <c r="J120" t="s">
        <v>16</v>
      </c>
      <c r="K120" s="3">
        <v>1500</v>
      </c>
      <c r="L120" t="s">
        <v>29</v>
      </c>
      <c r="M120" s="3">
        <v>400</v>
      </c>
      <c r="N120" s="3">
        <v>1500</v>
      </c>
      <c r="O120" s="3">
        <v>400</v>
      </c>
    </row>
    <row r="121" spans="1:15" x14ac:dyDescent="0.2">
      <c r="A121" s="2">
        <v>121</v>
      </c>
      <c r="B121" t="s">
        <v>71</v>
      </c>
      <c r="C121" s="1">
        <v>44762</v>
      </c>
      <c r="D121" s="1">
        <v>44772</v>
      </c>
      <c r="E121" s="2">
        <v>10</v>
      </c>
      <c r="F121" t="s">
        <v>178</v>
      </c>
      <c r="G121" s="2">
        <v>29</v>
      </c>
      <c r="H121" t="s">
        <v>18</v>
      </c>
      <c r="I121" t="s">
        <v>22</v>
      </c>
      <c r="J121" t="s">
        <v>33</v>
      </c>
      <c r="K121" s="3">
        <v>1800</v>
      </c>
      <c r="L121" t="s">
        <v>186</v>
      </c>
      <c r="M121" s="3">
        <v>800</v>
      </c>
      <c r="N121" s="3">
        <v>1800</v>
      </c>
      <c r="O121" s="3">
        <v>800</v>
      </c>
    </row>
    <row r="122" spans="1:15" x14ac:dyDescent="0.2">
      <c r="A122" s="2">
        <v>122</v>
      </c>
      <c r="B122" t="s">
        <v>199</v>
      </c>
      <c r="C122" s="1">
        <v>44781</v>
      </c>
      <c r="D122" s="1">
        <v>44789</v>
      </c>
      <c r="E122" s="2">
        <v>8</v>
      </c>
      <c r="F122" t="s">
        <v>179</v>
      </c>
      <c r="G122" s="2">
        <v>41</v>
      </c>
      <c r="H122" t="s">
        <v>14</v>
      </c>
      <c r="I122" t="s">
        <v>15</v>
      </c>
      <c r="J122" t="s">
        <v>16</v>
      </c>
      <c r="K122" s="3">
        <v>300</v>
      </c>
      <c r="L122" t="s">
        <v>186</v>
      </c>
      <c r="M122" s="3">
        <v>600</v>
      </c>
      <c r="N122" s="3">
        <f>INT(LEFT(K122,3))</f>
        <v>300</v>
      </c>
      <c r="O122" s="3">
        <v>600</v>
      </c>
    </row>
    <row r="123" spans="1:15" x14ac:dyDescent="0.2">
      <c r="A123" s="2">
        <v>123</v>
      </c>
      <c r="B123" t="s">
        <v>71</v>
      </c>
      <c r="C123" s="1">
        <v>44824</v>
      </c>
      <c r="D123" s="1">
        <v>44834</v>
      </c>
      <c r="E123" s="2">
        <v>10</v>
      </c>
      <c r="F123" t="s">
        <v>180</v>
      </c>
      <c r="G123" s="2">
        <v>35</v>
      </c>
      <c r="H123" t="s">
        <v>18</v>
      </c>
      <c r="I123" t="s">
        <v>22</v>
      </c>
      <c r="J123" t="s">
        <v>28</v>
      </c>
      <c r="K123" s="3">
        <v>2000</v>
      </c>
      <c r="L123" t="s">
        <v>186</v>
      </c>
      <c r="M123" s="3">
        <v>900</v>
      </c>
      <c r="N123" s="3">
        <v>2000</v>
      </c>
      <c r="O123" s="3">
        <v>900</v>
      </c>
    </row>
    <row r="124" spans="1:15" x14ac:dyDescent="0.2">
      <c r="A124" s="2">
        <v>124</v>
      </c>
      <c r="B124" t="s">
        <v>154</v>
      </c>
      <c r="C124" s="1">
        <v>44839</v>
      </c>
      <c r="D124" s="1">
        <v>44847</v>
      </c>
      <c r="E124" s="2">
        <v>8</v>
      </c>
      <c r="F124" t="s">
        <v>181</v>
      </c>
      <c r="G124" s="2">
        <v>24</v>
      </c>
      <c r="H124" t="s">
        <v>14</v>
      </c>
      <c r="I124" t="s">
        <v>22</v>
      </c>
      <c r="J124" t="s">
        <v>16</v>
      </c>
      <c r="K124" s="3">
        <v>1500</v>
      </c>
      <c r="L124" t="s">
        <v>186</v>
      </c>
      <c r="M124" s="3">
        <v>700</v>
      </c>
      <c r="N124" s="3">
        <v>1500</v>
      </c>
      <c r="O124" s="3">
        <v>700</v>
      </c>
    </row>
    <row r="125" spans="1:15" x14ac:dyDescent="0.2">
      <c r="A125" s="2">
        <v>125</v>
      </c>
      <c r="B125" t="s">
        <v>74</v>
      </c>
      <c r="C125" s="1">
        <v>44876</v>
      </c>
      <c r="D125" s="1">
        <v>44886</v>
      </c>
      <c r="E125" s="2">
        <v>10</v>
      </c>
      <c r="F125" t="s">
        <v>182</v>
      </c>
      <c r="G125" s="2">
        <v>30</v>
      </c>
      <c r="H125" t="s">
        <v>18</v>
      </c>
      <c r="I125" t="s">
        <v>45</v>
      </c>
      <c r="J125" t="s">
        <v>28</v>
      </c>
      <c r="K125" s="3">
        <v>1000</v>
      </c>
      <c r="L125" t="s">
        <v>186</v>
      </c>
      <c r="M125" s="3">
        <v>1000</v>
      </c>
      <c r="N125" s="3">
        <v>1000</v>
      </c>
      <c r="O125" s="3">
        <v>1000</v>
      </c>
    </row>
    <row r="126" spans="1:15" x14ac:dyDescent="0.2">
      <c r="A126" s="2">
        <v>126</v>
      </c>
      <c r="B126" t="str">
        <f>_xlfn.CONCAT(B$25)</f>
        <v>Italy</v>
      </c>
      <c r="C126" s="1">
        <v>44919</v>
      </c>
      <c r="D126" s="1">
        <v>44927</v>
      </c>
      <c r="E126" s="2">
        <v>8</v>
      </c>
      <c r="F126" t="s">
        <v>183</v>
      </c>
      <c r="G126" s="2">
        <v>28</v>
      </c>
      <c r="H126" t="s">
        <v>14</v>
      </c>
      <c r="I126" t="s">
        <v>15</v>
      </c>
      <c r="J126" t="s">
        <v>33</v>
      </c>
      <c r="K126" s="3">
        <v>400</v>
      </c>
      <c r="L126" t="s">
        <v>186</v>
      </c>
      <c r="M126" s="3">
        <v>700</v>
      </c>
      <c r="N126" s="3">
        <f>INT(LEFT(K126,3))</f>
        <v>400</v>
      </c>
      <c r="O126" s="3">
        <v>700</v>
      </c>
    </row>
    <row r="127" spans="1:15" x14ac:dyDescent="0.2">
      <c r="A127" s="2">
        <v>127</v>
      </c>
      <c r="B127" t="s">
        <v>71</v>
      </c>
      <c r="C127" s="1">
        <v>44967</v>
      </c>
      <c r="D127" s="1">
        <v>44975</v>
      </c>
      <c r="E127" s="2">
        <v>8</v>
      </c>
      <c r="F127" t="s">
        <v>184</v>
      </c>
      <c r="G127" s="2">
        <v>33</v>
      </c>
      <c r="H127" t="s">
        <v>18</v>
      </c>
      <c r="I127" t="s">
        <v>19</v>
      </c>
      <c r="J127" t="s">
        <v>16</v>
      </c>
      <c r="K127" s="3">
        <v>900</v>
      </c>
      <c r="L127" t="s">
        <v>186</v>
      </c>
      <c r="M127" s="3">
        <v>800</v>
      </c>
      <c r="N127" s="3">
        <v>900</v>
      </c>
      <c r="O127" s="3">
        <v>800</v>
      </c>
    </row>
    <row r="128" spans="1:15" x14ac:dyDescent="0.2">
      <c r="A128" s="2">
        <v>129</v>
      </c>
      <c r="B128" t="s">
        <v>88</v>
      </c>
      <c r="C128" s="1">
        <v>45047</v>
      </c>
      <c r="D128" s="1">
        <v>45053</v>
      </c>
      <c r="E128" s="2">
        <v>6</v>
      </c>
      <c r="F128" t="s">
        <v>185</v>
      </c>
      <c r="G128" s="2">
        <v>35</v>
      </c>
      <c r="H128" t="s">
        <v>14</v>
      </c>
      <c r="I128" t="s">
        <v>15</v>
      </c>
      <c r="J128" t="s">
        <v>16</v>
      </c>
      <c r="K128" s="3">
        <v>500</v>
      </c>
      <c r="L128" t="s">
        <v>186</v>
      </c>
      <c r="M128" s="3">
        <v>2500</v>
      </c>
      <c r="N128" s="3">
        <f>INT(LEFT(K128,3))</f>
        <v>500</v>
      </c>
      <c r="O128" s="3">
        <v>2500</v>
      </c>
    </row>
    <row r="129" spans="1:15" x14ac:dyDescent="0.2">
      <c r="A129" s="2">
        <v>130</v>
      </c>
      <c r="B129" t="str">
        <f>RIGHT($B130,9)</f>
        <v>Japan</v>
      </c>
      <c r="C129" s="1">
        <v>45061</v>
      </c>
      <c r="D129" s="1">
        <v>45068</v>
      </c>
      <c r="E129" s="2">
        <v>7</v>
      </c>
      <c r="F129" t="s">
        <v>187</v>
      </c>
      <c r="G129" s="2">
        <v>28</v>
      </c>
      <c r="H129" t="s">
        <v>18</v>
      </c>
      <c r="I129" t="s">
        <v>25</v>
      </c>
      <c r="J129" t="s">
        <v>28</v>
      </c>
      <c r="K129" s="3">
        <v>800</v>
      </c>
      <c r="L129" t="s">
        <v>29</v>
      </c>
      <c r="M129" s="3">
        <v>1500</v>
      </c>
      <c r="N129" s="3">
        <v>800</v>
      </c>
      <c r="O129" s="3">
        <v>1500</v>
      </c>
    </row>
    <row r="130" spans="1:15" x14ac:dyDescent="0.2">
      <c r="A130" s="2">
        <v>131</v>
      </c>
      <c r="B130" t="s">
        <v>67</v>
      </c>
      <c r="C130" s="1">
        <v>45078</v>
      </c>
      <c r="D130" s="1">
        <v>45087</v>
      </c>
      <c r="E130" s="2">
        <v>9</v>
      </c>
      <c r="F130" t="s">
        <v>188</v>
      </c>
      <c r="G130" s="2">
        <v>45</v>
      </c>
      <c r="H130" t="s">
        <v>14</v>
      </c>
      <c r="I130" t="s">
        <v>131</v>
      </c>
      <c r="J130" t="s">
        <v>33</v>
      </c>
      <c r="K130" s="3">
        <v>5000</v>
      </c>
      <c r="L130" t="s">
        <v>134</v>
      </c>
      <c r="M130" s="3">
        <v>2000</v>
      </c>
      <c r="N130" s="3">
        <v>5000</v>
      </c>
      <c r="O130" s="3">
        <v>2000</v>
      </c>
    </row>
    <row r="131" spans="1:15" x14ac:dyDescent="0.2">
      <c r="A131" s="2">
        <v>132</v>
      </c>
      <c r="B131" t="str">
        <f>_xlfn.CONCAT(B$15)</f>
        <v>France</v>
      </c>
      <c r="C131" s="1">
        <v>45092</v>
      </c>
      <c r="D131" s="1">
        <v>45098</v>
      </c>
      <c r="E131" s="2">
        <v>6</v>
      </c>
      <c r="F131" t="s">
        <v>121</v>
      </c>
      <c r="G131" s="2">
        <v>31</v>
      </c>
      <c r="H131" t="s">
        <v>18</v>
      </c>
      <c r="I131" t="s">
        <v>32</v>
      </c>
      <c r="J131" t="s">
        <v>16</v>
      </c>
      <c r="K131" s="3">
        <v>600</v>
      </c>
      <c r="L131" t="s">
        <v>186</v>
      </c>
      <c r="M131" s="3">
        <v>3000</v>
      </c>
      <c r="N131" s="3">
        <v>600</v>
      </c>
      <c r="O131" s="3">
        <v>3000</v>
      </c>
    </row>
    <row r="132" spans="1:15" x14ac:dyDescent="0.2">
      <c r="A132" s="2">
        <v>133</v>
      </c>
      <c r="B132" t="str">
        <f>_xlfn.CONCAT(B$44)</f>
        <v>Brazil</v>
      </c>
      <c r="C132" s="1">
        <v>45108</v>
      </c>
      <c r="D132" s="1">
        <v>45115</v>
      </c>
      <c r="E132" s="2">
        <v>7</v>
      </c>
      <c r="F132" t="s">
        <v>65</v>
      </c>
      <c r="G132" s="2">
        <v>42</v>
      </c>
      <c r="H132" t="s">
        <v>14</v>
      </c>
      <c r="I132" t="s">
        <v>22</v>
      </c>
      <c r="J132" t="s">
        <v>28</v>
      </c>
      <c r="K132" s="3">
        <v>2000</v>
      </c>
      <c r="L132" t="s">
        <v>29</v>
      </c>
      <c r="M132" s="3">
        <v>1500</v>
      </c>
      <c r="N132" s="3">
        <v>2000</v>
      </c>
      <c r="O132" s="3">
        <v>1500</v>
      </c>
    </row>
    <row r="133" spans="1:15" x14ac:dyDescent="0.2">
      <c r="A133" s="2">
        <v>134</v>
      </c>
      <c r="B133" t="s">
        <v>88</v>
      </c>
      <c r="C133" s="1">
        <v>45122</v>
      </c>
      <c r="D133" s="1">
        <v>45129</v>
      </c>
      <c r="E133" s="2">
        <v>7</v>
      </c>
      <c r="F133" t="s">
        <v>31</v>
      </c>
      <c r="G133" s="2">
        <v>27</v>
      </c>
      <c r="H133" t="s">
        <v>18</v>
      </c>
      <c r="I133" t="s">
        <v>15</v>
      </c>
      <c r="J133" t="s">
        <v>16</v>
      </c>
      <c r="K133" s="3">
        <v>500</v>
      </c>
      <c r="L133" t="s">
        <v>186</v>
      </c>
      <c r="M133" s="3">
        <v>2500</v>
      </c>
      <c r="N133" s="3">
        <f>INT(LEFT(K133,4))</f>
        <v>500</v>
      </c>
      <c r="O133" s="3">
        <v>2500</v>
      </c>
    </row>
    <row r="134" spans="1:15" x14ac:dyDescent="0.2">
      <c r="A134" s="2">
        <v>135</v>
      </c>
      <c r="B134" t="s">
        <v>76</v>
      </c>
      <c r="C134" s="1">
        <v>45139</v>
      </c>
      <c r="D134" s="1">
        <v>45148</v>
      </c>
      <c r="E134" s="2">
        <v>9</v>
      </c>
      <c r="F134" t="s">
        <v>189</v>
      </c>
      <c r="G134" s="2">
        <v>37</v>
      </c>
      <c r="H134" t="s">
        <v>14</v>
      </c>
      <c r="I134" t="s">
        <v>35</v>
      </c>
      <c r="J134" t="s">
        <v>33</v>
      </c>
      <c r="K134" s="3">
        <v>700</v>
      </c>
      <c r="L134" t="s">
        <v>134</v>
      </c>
      <c r="M134" s="3">
        <v>2000</v>
      </c>
      <c r="N134" s="3">
        <v>700</v>
      </c>
      <c r="O134" s="3">
        <v>2000</v>
      </c>
    </row>
    <row r="135" spans="1:15" x14ac:dyDescent="0.2">
      <c r="A135" s="2">
        <v>136</v>
      </c>
      <c r="B135" t="str">
        <f>_xlfn.CONCAT(B$30)</f>
        <v>Thailand</v>
      </c>
      <c r="C135" s="1">
        <v>45153</v>
      </c>
      <c r="D135" s="1">
        <v>45159</v>
      </c>
      <c r="E135" s="2">
        <v>6</v>
      </c>
      <c r="F135" t="s">
        <v>190</v>
      </c>
      <c r="G135" s="2">
        <v>29</v>
      </c>
      <c r="H135" t="s">
        <v>18</v>
      </c>
      <c r="I135" t="s">
        <v>19</v>
      </c>
      <c r="J135" t="s">
        <v>16</v>
      </c>
      <c r="K135" s="3">
        <v>1000</v>
      </c>
      <c r="L135" t="s">
        <v>186</v>
      </c>
      <c r="M135" s="3">
        <v>3000</v>
      </c>
      <c r="N135" s="3">
        <v>1000</v>
      </c>
      <c r="O135" s="3">
        <v>3000</v>
      </c>
    </row>
    <row r="136" spans="1:15" x14ac:dyDescent="0.2">
      <c r="A136" s="2">
        <v>137</v>
      </c>
      <c r="B136" t="s">
        <v>202</v>
      </c>
      <c r="C136" s="1">
        <v>45170</v>
      </c>
      <c r="D136" s="1">
        <v>45177</v>
      </c>
      <c r="E136" s="2">
        <v>7</v>
      </c>
      <c r="F136" t="s">
        <v>191</v>
      </c>
      <c r="G136" s="2">
        <v>34</v>
      </c>
      <c r="H136" t="s">
        <v>14</v>
      </c>
      <c r="I136" t="s">
        <v>45</v>
      </c>
      <c r="J136" t="s">
        <v>33</v>
      </c>
      <c r="K136" s="3">
        <v>1000</v>
      </c>
      <c r="L136" t="s">
        <v>29</v>
      </c>
      <c r="M136" s="3">
        <v>1000</v>
      </c>
      <c r="N136" s="3">
        <v>1000</v>
      </c>
      <c r="O136" s="3">
        <v>1000</v>
      </c>
    </row>
    <row r="137" spans="1:15" x14ac:dyDescent="0.2">
      <c r="A137" s="2">
        <v>138</v>
      </c>
      <c r="B137" t="s">
        <v>82</v>
      </c>
      <c r="C137" s="1">
        <v>45184</v>
      </c>
      <c r="D137" s="1">
        <v>45191</v>
      </c>
      <c r="E137" s="2">
        <v>7</v>
      </c>
      <c r="F137" t="s">
        <v>192</v>
      </c>
      <c r="G137" s="2">
        <v>25</v>
      </c>
      <c r="H137" t="s">
        <v>18</v>
      </c>
      <c r="I137" t="s">
        <v>43</v>
      </c>
      <c r="J137" t="s">
        <v>28</v>
      </c>
      <c r="K137" s="3" t="s">
        <v>133</v>
      </c>
      <c r="L137" t="s">
        <v>186</v>
      </c>
      <c r="M137" s="3">
        <v>2500</v>
      </c>
      <c r="N137" s="3">
        <f>INT(LEFT(K137,3))</f>
        <v>400</v>
      </c>
      <c r="O137" s="3">
        <v>2500</v>
      </c>
    </row>
    <row r="138" spans="1:15" x14ac:dyDescent="0.2">
      <c r="A138" s="2">
        <v>139</v>
      </c>
      <c r="B138" t="s">
        <v>67</v>
      </c>
      <c r="C138" s="1">
        <v>45200</v>
      </c>
      <c r="D138" s="1">
        <v>45207</v>
      </c>
      <c r="E138" s="2">
        <v>7</v>
      </c>
      <c r="F138" t="s">
        <v>193</v>
      </c>
      <c r="G138" s="2">
        <v>39</v>
      </c>
      <c r="H138" t="s">
        <v>14</v>
      </c>
      <c r="I138" t="s">
        <v>194</v>
      </c>
      <c r="J138" t="s">
        <v>16</v>
      </c>
      <c r="K138" s="3">
        <v>3000</v>
      </c>
      <c r="L138" t="s">
        <v>29</v>
      </c>
      <c r="M138" s="3">
        <v>2500</v>
      </c>
      <c r="N138" s="3">
        <v>3000</v>
      </c>
      <c r="O138" s="3">
        <v>2500</v>
      </c>
    </row>
  </sheetData>
  <sortState xmlns:xlrd2="http://schemas.microsoft.com/office/spreadsheetml/2017/richdata2" ref="A2:O138">
    <sortCondition ref="A1:A138"/>
  </sortState>
  <phoneticPr fontId="18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Finished_sheet</vt:lpstr>
      <vt:lpstr>Travel details 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2023-03-09T22:06:44Z</dcterms:created>
  <dcterms:modified xsi:type="dcterms:W3CDTF">2023-03-10T19:19:52Z</dcterms:modified>
</cp:coreProperties>
</file>