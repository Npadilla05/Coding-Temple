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kipadilla/Coding Temple/"/>
    </mc:Choice>
  </mc:AlternateContent>
  <xr:revisionPtr revIDLastSave="0" documentId="8_{05B8997A-BAC4-8341-A2AD-188B86CD21F4}" xr6:coauthVersionLast="47" xr6:coauthVersionMax="47" xr10:uidLastSave="{00000000-0000-0000-0000-000000000000}"/>
  <bookViews>
    <workbookView xWindow="660" yWindow="500" windowWidth="24600" windowHeight="14500"/>
  </bookViews>
  <sheets>
    <sheet name="Sheet7" sheetId="8" r:id="rId1"/>
    <sheet name="Chart1" sheetId="9" r:id="rId2"/>
    <sheet name="titanic" sheetId="1" r:id="rId3"/>
  </sheets>
  <definedNames>
    <definedName name="_xlchart.v1.0" hidden="1">titanic!$I$1</definedName>
    <definedName name="_xlchart.v1.1" hidden="1">titanic!$I$2:$I$101</definedName>
    <definedName name="_xlchart.v1.10" hidden="1">titanic!$D$1</definedName>
    <definedName name="_xlchart.v1.11" hidden="1">titanic!$D$2:$D$101</definedName>
    <definedName name="_xlchart.v1.12" hidden="1">titanic!$C$1</definedName>
    <definedName name="_xlchart.v1.13" hidden="1">titanic!$C$2:$C$101</definedName>
    <definedName name="_xlchart.v1.14" hidden="1">titanic!$D$1</definedName>
    <definedName name="_xlchart.v1.15" hidden="1">titanic!$D$2:$D$101</definedName>
    <definedName name="_xlchart.v1.16" hidden="1">titanic!$C$1</definedName>
    <definedName name="_xlchart.v1.17" hidden="1">titanic!$C$2:$C$101</definedName>
    <definedName name="_xlchart.v1.18" hidden="1">titanic!$D$1</definedName>
    <definedName name="_xlchart.v1.19" hidden="1">titanic!$D$2:$D$101</definedName>
    <definedName name="_xlchart.v1.2" hidden="1">titanic!$I$1</definedName>
    <definedName name="_xlchart.v1.20" hidden="1">titanic!$C$1</definedName>
    <definedName name="_xlchart.v1.21" hidden="1">titanic!$C$2:$C$101</definedName>
    <definedName name="_xlchart.v1.22" hidden="1">titanic!$D$1</definedName>
    <definedName name="_xlchart.v1.23" hidden="1">titanic!$D$2:$D$101</definedName>
    <definedName name="_xlchart.v1.24" hidden="1">titanic!$C$1</definedName>
    <definedName name="_xlchart.v1.25" hidden="1">titanic!$C$2:$C$101</definedName>
    <definedName name="_xlchart.v1.26" hidden="1">titanic!$D$1</definedName>
    <definedName name="_xlchart.v1.27" hidden="1">titanic!$D$2:$D$101</definedName>
    <definedName name="_xlchart.v1.28" hidden="1">titanic!$C$1</definedName>
    <definedName name="_xlchart.v1.29" hidden="1">titanic!$C$2:$C$101</definedName>
    <definedName name="_xlchart.v1.3" hidden="1">titanic!$I$2:$I$101</definedName>
    <definedName name="_xlchart.v1.30" hidden="1">titanic!$D$1</definedName>
    <definedName name="_xlchart.v1.31" hidden="1">titanic!$D$2:$D$101</definedName>
    <definedName name="_xlchart.v1.32" hidden="1">titanic!$C$1</definedName>
    <definedName name="_xlchart.v1.33" hidden="1">titanic!$C$2:$C$101</definedName>
    <definedName name="_xlchart.v1.34" hidden="1">titanic!$D$1</definedName>
    <definedName name="_xlchart.v1.35" hidden="1">titanic!$D$2:$D$101</definedName>
    <definedName name="_xlchart.v1.4" hidden="1">titanic!$C$1</definedName>
    <definedName name="_xlchart.v1.5" hidden="1">titanic!$C$2:$C$101</definedName>
    <definedName name="_xlchart.v1.6" hidden="1">titanic!$D$1</definedName>
    <definedName name="_xlchart.v1.7" hidden="1">titanic!$D$2:$D$101</definedName>
    <definedName name="_xlchart.v1.8" hidden="1">titanic!$C$1</definedName>
    <definedName name="_xlchart.v1.9" hidden="1">titanic!$C$2:$C$101</definedName>
  </definedNames>
  <calcPr calcId="191029"/>
  <pivotCaches>
    <pivotCache cacheId="19" r:id="rId4"/>
    <pivotCache cacheId="4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2" i="1"/>
  <c r="F2" i="1"/>
</calcChain>
</file>

<file path=xl/sharedStrings.xml><?xml version="1.0" encoding="utf-8"?>
<sst xmlns="http://schemas.openxmlformats.org/spreadsheetml/2006/main" count="27" uniqueCount="20">
  <si>
    <t>PassengerId</t>
  </si>
  <si>
    <t>Survived</t>
  </si>
  <si>
    <t>Sex</t>
  </si>
  <si>
    <t>Age</t>
  </si>
  <si>
    <t>Fare</t>
  </si>
  <si>
    <t>Pclass_1</t>
  </si>
  <si>
    <t>Pclass_2</t>
  </si>
  <si>
    <t>Pclass_3</t>
  </si>
  <si>
    <t>Family_size</t>
  </si>
  <si>
    <t>Row Labels</t>
  </si>
  <si>
    <t>Grand Total</t>
  </si>
  <si>
    <t>Sum of Pclass_1</t>
  </si>
  <si>
    <t>Sum of Pclass_2</t>
  </si>
  <si>
    <t>Sum of Pclass_3</t>
  </si>
  <si>
    <t>Sum of Survived</t>
  </si>
  <si>
    <t>Survivors</t>
  </si>
  <si>
    <t>Column Labels</t>
  </si>
  <si>
    <t>Values</t>
  </si>
  <si>
    <t>AgeUpdated</t>
  </si>
  <si>
    <t>Average of AgeUpdated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</si>
</sst>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71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" formatCode="0"/>
    </dxf>
    <dxf>
      <numFmt numFmtId="1" formatCode="0"/>
    </dxf>
    <dxf>
      <numFmt numFmtId="1" formatCode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[Week1titanic.xlsm]Sheet7!PivotTable7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Distribution by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Sheet7!$A$2:$A$4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Sheet7!$B$2:$B$4</c:f>
              <c:numCache>
                <c:formatCode>0</c:formatCode>
                <c:ptCount val="2"/>
                <c:pt idx="0">
                  <c:v>38.642857142857146</c:v>
                </c:pt>
                <c:pt idx="1">
                  <c:v>33.908653846153847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33-5849-9FFD-540714270F0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04669103"/>
        <c:axId val="1805058751"/>
      </c:barChart>
      <c:catAx>
        <c:axId val="180466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58751"/>
        <c:crosses val="autoZero"/>
        <c:auto val="1"/>
        <c:lblAlgn val="ctr"/>
        <c:lblOffset val="100"/>
        <c:noMultiLvlLbl val="0"/>
      </c:catAx>
      <c:valAx>
        <c:axId val="180505875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4669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[Week1titanic.xlsm]Sheet7!PivotTable8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 of Men to Women</a:t>
            </a:r>
            <a:r>
              <a:rPr lang="en-US" baseline="0"/>
              <a:t> in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Sheet7!$B$24</c:f>
              <c:strCache>
                <c:ptCount val="1"/>
                <c:pt idx="0">
                  <c:v>Sum of Pclass_1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Sheet7!$A$25:$A$27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Sheet7!$B$25:$B$27</c:f>
              <c:numCache>
                <c:formatCode>General</c:formatCode>
                <c:ptCount val="2"/>
                <c:pt idx="0">
                  <c:v>13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6-DF47-8E09-35D3B3A2B46E}"/>
            </c:ext>
          </c:extLst>
        </c:ser>
        <c:ser>
          <c:idx val="1"/>
          <c:order val="1"/>
          <c:tx>
            <c:strRef>
              <c:f>Sheet7!$C$24</c:f>
              <c:strCache>
                <c:ptCount val="1"/>
                <c:pt idx="0">
                  <c:v>Sum of Pclass_2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Sheet7!$A$25:$A$27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Sheet7!$C$25:$C$27</c:f>
              <c:numCache>
                <c:formatCode>General</c:formatCode>
                <c:ptCount val="2"/>
                <c:pt idx="0">
                  <c:v>6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36-DF47-8E09-35D3B3A2B46E}"/>
            </c:ext>
          </c:extLst>
        </c:ser>
        <c:ser>
          <c:idx val="2"/>
          <c:order val="2"/>
          <c:tx>
            <c:strRef>
              <c:f>Sheet7!$D$24</c:f>
              <c:strCache>
                <c:ptCount val="1"/>
                <c:pt idx="0">
                  <c:v>Sum of Pclass_3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Sheet7!$A$25:$A$27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Sheet7!$D$25:$D$27</c:f>
              <c:numCache>
                <c:formatCode>General</c:formatCode>
                <c:ptCount val="2"/>
                <c:pt idx="0">
                  <c:v>16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36-DF47-8E09-35D3B3A2B46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09611055"/>
        <c:axId val="1788730719"/>
      </c:barChart>
      <c:catAx>
        <c:axId val="1809611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30719"/>
        <c:crosses val="autoZero"/>
        <c:auto val="1"/>
        <c:lblAlgn val="ctr"/>
        <c:lblOffset val="100"/>
        <c:noMultiLvlLbl val="0"/>
      </c:catAx>
      <c:valAx>
        <c:axId val="178873071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09611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[Week1titanic.xlsm]Sheet7!PivotTable9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Family</a:t>
            </a:r>
            <a:r>
              <a:rPr lang="en-US" baseline="0"/>
              <a:t> Size VS Survival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Sheet7!$J$4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Sheet7!$I$5:$I$11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Sheet7!$J$5:$J$11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0B-2C45-BB5B-51A9AE3D27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54381151"/>
        <c:axId val="1854327887"/>
      </c:barChart>
      <c:catAx>
        <c:axId val="185438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327887"/>
        <c:crosses val="autoZero"/>
        <c:auto val="1"/>
        <c:lblAlgn val="ctr"/>
        <c:lblOffset val="100"/>
        <c:noMultiLvlLbl val="0"/>
      </c:catAx>
      <c:valAx>
        <c:axId val="185432788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5438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Survivors on Titanic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0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Sum of Pclass_1</c:v>
              </c:pt>
              <c:pt idx="1">
                <c:v>Sum of Pclass_2</c:v>
              </c:pt>
              <c:pt idx="2">
                <c:v>Sum of Pclass_3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13</c:v>
              </c:pt>
              <c:pt idx="2">
                <c:v>45</c:v>
              </c:pt>
            </c:numLit>
          </c:val>
          <c:extLst>
            <c:ext xmlns:c16="http://schemas.microsoft.com/office/drawing/2014/chart" uri="{C3380CC4-5D6E-409C-BE32-E72D297353CC}">
              <c16:uniqueId val="{00000000-B44B-0746-BCAC-F0FEF38B7BAF}"/>
            </c:ext>
          </c:extLst>
        </c:ser>
        <c:ser>
          <c:idx val="1"/>
          <c:order val="1"/>
          <c:tx>
            <c:v>1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Sum of Pclass_1</c:v>
              </c:pt>
              <c:pt idx="1">
                <c:v>Sum of Pclass_2</c:v>
              </c:pt>
              <c:pt idx="2">
                <c:v>Sum of Pclass_3</c:v>
              </c:pt>
            </c:strLit>
          </c:cat>
          <c:val>
            <c:numLit>
              <c:formatCode>General</c:formatCode>
              <c:ptCount val="3"/>
              <c:pt idx="0">
                <c:v>17</c:v>
              </c:pt>
              <c:pt idx="1">
                <c:v>7</c:v>
              </c:pt>
              <c:pt idx="2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B44B-0746-BCAC-F0FEF38B7BA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1891056"/>
        <c:axId val="111894512"/>
      </c:barChart>
      <c:catAx>
        <c:axId val="11189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Passenger</a:t>
                </a:r>
                <a:r>
                  <a:rPr lang="en-US" baseline="0"/>
                  <a:t> Classes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94512"/>
        <c:crosses val="autoZero"/>
        <c:auto val="1"/>
        <c:lblAlgn val="ctr"/>
        <c:lblOffset val="100"/>
        <c:noMultiLvlLbl val="0"/>
      </c:catAx>
      <c:valAx>
        <c:axId val="1118945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910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 Distribution of Family Sizes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 Distribution of Family Sizes</a:t>
          </a:r>
        </a:p>
      </cx:txPr>
    </cx:title>
    <cx:plotArea>
      <cx:plotAreaRegion>
        <cx:series layoutId="clusteredColumn" uniqueId="{00410102-E305-EA44-B1CA-56C1935A1222}">
          <cx:tx>
            <cx:txData>
              <cx:f>_xlchart.v1.0</cx:f>
              <cx:v>Family_size</cx:v>
            </cx:txData>
          </cx:tx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50800</xdr:rowOff>
    </xdr:from>
    <xdr:to>
      <xdr:col>6</xdr:col>
      <xdr:colOff>203200</xdr:colOff>
      <xdr:row>19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4C01BF-B1D9-C025-7B7E-29F6D6E05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76200</xdr:rowOff>
    </xdr:from>
    <xdr:to>
      <xdr:col>6</xdr:col>
      <xdr:colOff>19050</xdr:colOff>
      <xdr:row>43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F7AC0F-AF13-A156-43A7-8FF7F0F51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819150</xdr:colOff>
      <xdr:row>11</xdr:row>
      <xdr:rowOff>50800</xdr:rowOff>
    </xdr:from>
    <xdr:to>
      <xdr:col>16</xdr:col>
      <xdr:colOff>368300</xdr:colOff>
      <xdr:row>24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FFDE02-B18C-F368-B2A0-AEBED0CDF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812800</xdr:colOff>
      <xdr:row>33</xdr:row>
      <xdr:rowOff>63500</xdr:rowOff>
    </xdr:from>
    <xdr:to>
      <xdr:col>21</xdr:col>
      <xdr:colOff>165100</xdr:colOff>
      <xdr:row>48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A3A57CC-2805-E642-AB49-51EA9C97E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6238" cy="62871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B07F9D6-012D-ACF8-1751-306843565B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7E62B5E-3643-DA7A-6EDF-16C3F35C5FB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76238" cy="62871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993.606127662038" createdVersion="8" refreshedVersion="8" minRefreshableVersion="3" recordCount="101">
  <cacheSource type="worksheet">
    <worksheetSource ref="A1:I1048576" sheet="titanic"/>
  </cacheSource>
  <cacheFields count="9">
    <cacheField name="PassengerId" numFmtId="0">
      <sharedItems containsString="0" containsBlank="1" containsNumber="1" containsInteger="1" minValue="792" maxValue="891"/>
    </cacheField>
    <cacheField name="Survived" numFmtId="0">
      <sharedItems containsString="0" containsBlank="1" containsNumber="1" containsInteger="1" minValue="0" maxValue="1" count="3">
        <n v="0"/>
        <n v="1"/>
        <m/>
      </sharedItems>
    </cacheField>
    <cacheField name="Sex" numFmtId="0">
      <sharedItems containsString="0" containsBlank="1" containsNumber="1" containsInteger="1" minValue="0" maxValue="1" count="3">
        <n v="1"/>
        <n v="0"/>
        <m/>
      </sharedItems>
    </cacheField>
    <cacheField name="Age" numFmtId="0">
      <sharedItems containsString="0" containsBlank="1" containsNumber="1" minValue="5.2500000000000003E-3" maxValue="0.92500000000000004"/>
    </cacheField>
    <cacheField name="Fare" numFmtId="0">
      <sharedItems containsString="0" containsBlank="1" containsNumber="1" minValue="0" maxValue="0.32179836699999997"/>
    </cacheField>
    <cacheField name="Pclass_1" numFmtId="0">
      <sharedItems containsString="0" containsBlank="1" containsNumber="1" containsInteger="1" minValue="0" maxValue="1" count="3">
        <n v="0"/>
        <n v="1"/>
        <m/>
      </sharedItems>
    </cacheField>
    <cacheField name="Pclass_2" numFmtId="0">
      <sharedItems containsString="0" containsBlank="1" containsNumber="1" containsInteger="1" minValue="0" maxValue="1" count="3">
        <n v="1"/>
        <n v="0"/>
        <m/>
      </sharedItems>
    </cacheField>
    <cacheField name="Pclass_3" numFmtId="0">
      <sharedItems containsString="0" containsBlank="1" containsNumber="1" containsInteger="1" minValue="0" maxValue="1" count="3">
        <n v="0"/>
        <n v="1"/>
        <m/>
      </sharedItems>
    </cacheField>
    <cacheField name="Family_size" numFmtId="0">
      <sharedItems containsString="0" containsBlank="1" containsNumber="1" minValue="0" maxValue="1" count="8">
        <n v="0"/>
        <n v="1"/>
        <n v="0.2"/>
        <n v="0.3"/>
        <n v="0.1"/>
        <n v="0.6"/>
        <n v="0.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4993.653361458331" createdVersion="8" refreshedVersion="8" minRefreshableVersion="3" recordCount="101">
  <cacheSource type="worksheet">
    <worksheetSource ref="A1:J1048576" sheet="titanic"/>
  </cacheSource>
  <cacheFields count="10">
    <cacheField name="PassengerId" numFmtId="0">
      <sharedItems containsString="0" containsBlank="1" containsNumber="1" containsInteger="1" minValue="792" maxValue="891"/>
    </cacheField>
    <cacheField name="Survived" numFmtId="0">
      <sharedItems containsString="0" containsBlank="1" containsNumber="1" containsInteger="1" minValue="0" maxValue="1" count="3">
        <n v="0"/>
        <n v="1"/>
        <m/>
      </sharedItems>
    </cacheField>
    <cacheField name="Sex" numFmtId="0">
      <sharedItems containsString="0" containsBlank="1" containsNumber="1" containsInteger="1" minValue="0" maxValue="1" count="3">
        <n v="1"/>
        <n v="0"/>
        <m/>
      </sharedItems>
    </cacheField>
    <cacheField name="Age" numFmtId="0">
      <sharedItems containsString="0" containsBlank="1" containsNumber="1" minValue="5.2500000000000003E-3" maxValue="0.92500000000000004"/>
    </cacheField>
    <cacheField name="Fare" numFmtId="0">
      <sharedItems containsString="0" containsBlank="1" containsNumber="1" minValue="0" maxValue="0.32179836699999997"/>
    </cacheField>
    <cacheField name="Pclass_1" numFmtId="0">
      <sharedItems containsString="0" containsBlank="1" containsNumber="1" containsInteger="1" minValue="0" maxValue="1"/>
    </cacheField>
    <cacheField name="Pclass_2" numFmtId="0">
      <sharedItems containsString="0" containsBlank="1" containsNumber="1" containsInteger="1" minValue="0" maxValue="1"/>
    </cacheField>
    <cacheField name="Pclass_3" numFmtId="0">
      <sharedItems containsString="0" containsBlank="1" containsNumber="1" containsInteger="1" minValue="0" maxValue="1"/>
    </cacheField>
    <cacheField name="Family_size" numFmtId="0">
      <sharedItems containsString="0" containsBlank="1" containsNumber="1" containsInteger="1" minValue="0" maxValue="6" count="7">
        <n v="0"/>
        <n v="1"/>
        <n v="2"/>
        <n v="3"/>
        <n v="6"/>
        <n v="5"/>
        <m/>
      </sharedItems>
    </cacheField>
    <cacheField name="AgeUpdated" numFmtId="0">
      <sharedItems containsString="0" containsBlank="1" containsNumber="1" minValue="0.52500000000000002" maxValue="92.5" count="47">
        <n v="20"/>
        <n v="35"/>
        <n v="31.25"/>
        <n v="48.75"/>
        <n v="61.250000000000007"/>
        <n v="38.75"/>
        <n v="37.5"/>
        <n v="42.5"/>
        <n v="13.750000000000002"/>
        <n v="0.52500000000000002"/>
        <n v="33.75"/>
        <n v="22.5"/>
        <n v="41.25"/>
        <n v="32.5"/>
        <n v="43.75"/>
        <n v="7.5"/>
        <n v="38.125"/>
        <n v="28.749999999999996"/>
        <n v="53.75"/>
        <n v="12.5"/>
        <n v="65"/>
        <n v="47.5"/>
        <n v="2.5"/>
        <n v="1.25"/>
        <n v="77.5"/>
        <n v="18.75"/>
        <n v="1.0375000000000001"/>
        <n v="26.25"/>
        <n v="40"/>
        <n v="25"/>
        <n v="43.125"/>
        <n v="21.25"/>
        <n v="52.5"/>
        <n v="5"/>
        <n v="92.5"/>
        <n v="11.25"/>
        <n v="55.000000000000007"/>
        <n v="56.25"/>
        <n v="63.749999999999993"/>
        <n v="30"/>
        <n v="51.249999999999993"/>
        <n v="60"/>
        <n v="58.75"/>
        <n v="23.75"/>
        <n v="70"/>
        <n v="27.50000000000000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n v="792"/>
    <x v="0"/>
    <x v="0"/>
    <n v="0.2"/>
    <n v="5.0748620000000001E-2"/>
    <x v="0"/>
    <x v="0"/>
    <x v="0"/>
    <x v="0"/>
  </r>
  <r>
    <n v="793"/>
    <x v="0"/>
    <x v="1"/>
    <n v="0.35"/>
    <n v="0.13575255899999999"/>
    <x v="0"/>
    <x v="1"/>
    <x v="1"/>
    <x v="1"/>
  </r>
  <r>
    <n v="794"/>
    <x v="0"/>
    <x v="0"/>
    <n v="0.35"/>
    <n v="5.9914211000000002E-2"/>
    <x v="1"/>
    <x v="1"/>
    <x v="0"/>
    <x v="0"/>
  </r>
  <r>
    <n v="795"/>
    <x v="0"/>
    <x v="0"/>
    <n v="0.3125"/>
    <n v="1.5411575E-2"/>
    <x v="0"/>
    <x v="1"/>
    <x v="1"/>
    <x v="0"/>
  </r>
  <r>
    <n v="796"/>
    <x v="0"/>
    <x v="0"/>
    <n v="0.48749999999999999"/>
    <n v="2.5374310000000001E-2"/>
    <x v="0"/>
    <x v="0"/>
    <x v="0"/>
    <x v="0"/>
  </r>
  <r>
    <n v="797"/>
    <x v="1"/>
    <x v="1"/>
    <n v="0.61250000000000004"/>
    <n v="5.0610427999999999E-2"/>
    <x v="1"/>
    <x v="1"/>
    <x v="0"/>
    <x v="0"/>
  </r>
  <r>
    <n v="798"/>
    <x v="1"/>
    <x v="1"/>
    <n v="0.38750000000000001"/>
    <n v="1.6948673000000001E-2"/>
    <x v="0"/>
    <x v="1"/>
    <x v="1"/>
    <x v="0"/>
  </r>
  <r>
    <n v="799"/>
    <x v="0"/>
    <x v="0"/>
    <n v="0.375"/>
    <n v="1.4110459000000001E-2"/>
    <x v="0"/>
    <x v="1"/>
    <x v="1"/>
    <x v="0"/>
  </r>
  <r>
    <n v="800"/>
    <x v="0"/>
    <x v="1"/>
    <n v="0.375"/>
    <n v="4.7137660999999997E-2"/>
    <x v="0"/>
    <x v="1"/>
    <x v="1"/>
    <x v="2"/>
  </r>
  <r>
    <n v="801"/>
    <x v="0"/>
    <x v="0"/>
    <n v="0.42499999999999999"/>
    <n v="2.5374310000000001E-2"/>
    <x v="0"/>
    <x v="0"/>
    <x v="0"/>
    <x v="0"/>
  </r>
  <r>
    <n v="802"/>
    <x v="1"/>
    <x v="1"/>
    <n v="0.38750000000000001"/>
    <n v="5.1236588E-2"/>
    <x v="0"/>
    <x v="0"/>
    <x v="0"/>
    <x v="2"/>
  </r>
  <r>
    <n v="803"/>
    <x v="1"/>
    <x v="0"/>
    <n v="0.13750000000000001"/>
    <n v="0.234224401"/>
    <x v="1"/>
    <x v="1"/>
    <x v="0"/>
    <x v="3"/>
  </r>
  <r>
    <n v="804"/>
    <x v="1"/>
    <x v="0"/>
    <n v="5.2500000000000003E-3"/>
    <n v="1.6623491000000001E-2"/>
    <x v="0"/>
    <x v="1"/>
    <x v="1"/>
    <x v="4"/>
  </r>
  <r>
    <n v="805"/>
    <x v="1"/>
    <x v="0"/>
    <n v="0.33750000000000002"/>
    <n v="1.3614293E-2"/>
    <x v="0"/>
    <x v="1"/>
    <x v="1"/>
    <x v="0"/>
  </r>
  <r>
    <n v="806"/>
    <x v="0"/>
    <x v="0"/>
    <n v="0.38750000000000001"/>
    <n v="1.5175789E-2"/>
    <x v="0"/>
    <x v="1"/>
    <x v="1"/>
    <x v="0"/>
  </r>
  <r>
    <n v="807"/>
    <x v="0"/>
    <x v="0"/>
    <n v="0.48749999999999999"/>
    <n v="0"/>
    <x v="1"/>
    <x v="1"/>
    <x v="0"/>
    <x v="0"/>
  </r>
  <r>
    <n v="808"/>
    <x v="0"/>
    <x v="1"/>
    <n v="0.22500000000000001"/>
    <n v="1.5175789E-2"/>
    <x v="0"/>
    <x v="1"/>
    <x v="1"/>
    <x v="0"/>
  </r>
  <r>
    <n v="809"/>
    <x v="0"/>
    <x v="0"/>
    <n v="0.48749999999999999"/>
    <n v="2.5374310000000001E-2"/>
    <x v="0"/>
    <x v="0"/>
    <x v="0"/>
    <x v="0"/>
  </r>
  <r>
    <n v="810"/>
    <x v="1"/>
    <x v="1"/>
    <n v="0.41249999999999998"/>
    <n v="0.103644297"/>
    <x v="1"/>
    <x v="1"/>
    <x v="0"/>
    <x v="4"/>
  </r>
  <r>
    <n v="811"/>
    <x v="0"/>
    <x v="0"/>
    <n v="0.32500000000000001"/>
    <n v="1.5395374999999999E-2"/>
    <x v="0"/>
    <x v="1"/>
    <x v="1"/>
    <x v="0"/>
  </r>
  <r>
    <n v="812"/>
    <x v="0"/>
    <x v="0"/>
    <n v="0.48749999999999999"/>
    <n v="4.7137660999999997E-2"/>
    <x v="0"/>
    <x v="1"/>
    <x v="1"/>
    <x v="0"/>
  </r>
  <r>
    <n v="813"/>
    <x v="0"/>
    <x v="0"/>
    <n v="0.4375"/>
    <n v="2.0494635000000001E-2"/>
    <x v="0"/>
    <x v="0"/>
    <x v="0"/>
    <x v="0"/>
  </r>
  <r>
    <n v="814"/>
    <x v="0"/>
    <x v="1"/>
    <n v="7.4999999999999997E-2"/>
    <n v="6.1044735000000003E-2"/>
    <x v="0"/>
    <x v="1"/>
    <x v="1"/>
    <x v="5"/>
  </r>
  <r>
    <n v="815"/>
    <x v="0"/>
    <x v="0"/>
    <n v="0.38124999999999998"/>
    <n v="1.5712554E-2"/>
    <x v="0"/>
    <x v="1"/>
    <x v="1"/>
    <x v="0"/>
  </r>
  <r>
    <n v="816"/>
    <x v="0"/>
    <x v="0"/>
    <n v="0.35"/>
    <n v="0"/>
    <x v="1"/>
    <x v="1"/>
    <x v="0"/>
    <x v="0"/>
  </r>
  <r>
    <n v="817"/>
    <x v="0"/>
    <x v="1"/>
    <n v="0.28749999999999998"/>
    <n v="1.5468569999999999E-2"/>
    <x v="0"/>
    <x v="1"/>
    <x v="1"/>
    <x v="0"/>
  </r>
  <r>
    <n v="818"/>
    <x v="0"/>
    <x v="0"/>
    <n v="0.38750000000000001"/>
    <n v="7.2227388000000003E-2"/>
    <x v="0"/>
    <x v="0"/>
    <x v="0"/>
    <x v="2"/>
  </r>
  <r>
    <n v="819"/>
    <x v="0"/>
    <x v="0"/>
    <n v="0.53749999999999998"/>
    <n v="1.2589562E-2"/>
    <x v="0"/>
    <x v="1"/>
    <x v="1"/>
    <x v="0"/>
  </r>
  <r>
    <n v="820"/>
    <x v="0"/>
    <x v="0"/>
    <n v="0.125"/>
    <n v="5.4457172999999998E-2"/>
    <x v="0"/>
    <x v="1"/>
    <x v="1"/>
    <x v="6"/>
  </r>
  <r>
    <n v="821"/>
    <x v="1"/>
    <x v="1"/>
    <n v="0.65"/>
    <n v="0.18249984599999999"/>
    <x v="1"/>
    <x v="1"/>
    <x v="0"/>
    <x v="2"/>
  </r>
  <r>
    <n v="822"/>
    <x v="1"/>
    <x v="0"/>
    <n v="0.33750000000000002"/>
    <n v="1.6908073999999999E-2"/>
    <x v="0"/>
    <x v="1"/>
    <x v="1"/>
    <x v="0"/>
  </r>
  <r>
    <n v="823"/>
    <x v="0"/>
    <x v="0"/>
    <n v="0.47499999999999998"/>
    <n v="0"/>
    <x v="1"/>
    <x v="1"/>
    <x v="0"/>
    <x v="0"/>
  </r>
  <r>
    <n v="824"/>
    <x v="1"/>
    <x v="1"/>
    <n v="0.33750000000000002"/>
    <n v="2.4349578E-2"/>
    <x v="0"/>
    <x v="1"/>
    <x v="1"/>
    <x v="4"/>
  </r>
  <r>
    <n v="825"/>
    <x v="0"/>
    <x v="0"/>
    <n v="2.5000000000000001E-2"/>
    <n v="7.7464841000000006E-2"/>
    <x v="0"/>
    <x v="1"/>
    <x v="1"/>
    <x v="6"/>
  </r>
  <r>
    <n v="826"/>
    <x v="0"/>
    <x v="0"/>
    <n v="0.35"/>
    <n v="1.3565496999999999E-2"/>
    <x v="0"/>
    <x v="1"/>
    <x v="1"/>
    <x v="0"/>
  </r>
  <r>
    <n v="827"/>
    <x v="0"/>
    <x v="0"/>
    <n v="0.35"/>
    <n v="0.110272458"/>
    <x v="0"/>
    <x v="1"/>
    <x v="1"/>
    <x v="0"/>
  </r>
  <r>
    <n v="828"/>
    <x v="1"/>
    <x v="0"/>
    <n v="1.2500000000000001E-2"/>
    <n v="7.2227388000000003E-2"/>
    <x v="0"/>
    <x v="0"/>
    <x v="0"/>
    <x v="2"/>
  </r>
  <r>
    <n v="829"/>
    <x v="1"/>
    <x v="0"/>
    <n v="0.35"/>
    <n v="1.5126993E-2"/>
    <x v="0"/>
    <x v="1"/>
    <x v="1"/>
    <x v="0"/>
  </r>
  <r>
    <n v="830"/>
    <x v="1"/>
    <x v="1"/>
    <n v="0.77500000000000002"/>
    <n v="0.156149601"/>
    <x v="1"/>
    <x v="1"/>
    <x v="0"/>
    <x v="0"/>
  </r>
  <r>
    <n v="831"/>
    <x v="1"/>
    <x v="1"/>
    <n v="0.1875"/>
    <n v="2.8212719000000001E-2"/>
    <x v="0"/>
    <x v="1"/>
    <x v="1"/>
    <x v="4"/>
  </r>
  <r>
    <n v="832"/>
    <x v="1"/>
    <x v="0"/>
    <n v="1.0375000000000001E-2"/>
    <n v="3.6597563E-2"/>
    <x v="0"/>
    <x v="0"/>
    <x v="0"/>
    <x v="2"/>
  </r>
  <r>
    <n v="833"/>
    <x v="0"/>
    <x v="0"/>
    <n v="0.35"/>
    <n v="1.4110459000000001E-2"/>
    <x v="0"/>
    <x v="1"/>
    <x v="1"/>
    <x v="0"/>
  </r>
  <r>
    <n v="834"/>
    <x v="0"/>
    <x v="0"/>
    <n v="0.28749999999999998"/>
    <n v="1.5330376999999999E-2"/>
    <x v="0"/>
    <x v="1"/>
    <x v="1"/>
    <x v="0"/>
  </r>
  <r>
    <n v="835"/>
    <x v="0"/>
    <x v="0"/>
    <n v="0.22500000000000001"/>
    <n v="1.6200520999999999E-2"/>
    <x v="0"/>
    <x v="1"/>
    <x v="1"/>
    <x v="0"/>
  </r>
  <r>
    <n v="836"/>
    <x v="1"/>
    <x v="1"/>
    <n v="0.48749999999999999"/>
    <n v="0.162314192"/>
    <x v="1"/>
    <x v="1"/>
    <x v="0"/>
    <x v="2"/>
  </r>
  <r>
    <n v="837"/>
    <x v="0"/>
    <x v="0"/>
    <n v="0.26250000000000001"/>
    <n v="1.6908073999999999E-2"/>
    <x v="0"/>
    <x v="1"/>
    <x v="1"/>
    <x v="0"/>
  </r>
  <r>
    <n v="838"/>
    <x v="0"/>
    <x v="0"/>
    <n v="0.35"/>
    <n v="1.5712554E-2"/>
    <x v="0"/>
    <x v="1"/>
    <x v="1"/>
    <x v="0"/>
  </r>
  <r>
    <n v="839"/>
    <x v="1"/>
    <x v="0"/>
    <n v="0.4"/>
    <n v="0.110272458"/>
    <x v="0"/>
    <x v="1"/>
    <x v="1"/>
    <x v="0"/>
  </r>
  <r>
    <n v="840"/>
    <x v="1"/>
    <x v="0"/>
    <n v="0.35"/>
    <n v="5.7970539000000001E-2"/>
    <x v="1"/>
    <x v="1"/>
    <x v="0"/>
    <x v="0"/>
  </r>
  <r>
    <n v="841"/>
    <x v="0"/>
    <x v="0"/>
    <n v="0.25"/>
    <n v="1.5468569999999999E-2"/>
    <x v="0"/>
    <x v="1"/>
    <x v="1"/>
    <x v="0"/>
  </r>
  <r>
    <n v="842"/>
    <x v="0"/>
    <x v="0"/>
    <n v="0.2"/>
    <n v="2.0494635000000001E-2"/>
    <x v="0"/>
    <x v="0"/>
    <x v="0"/>
    <x v="0"/>
  </r>
  <r>
    <n v="843"/>
    <x v="1"/>
    <x v="1"/>
    <n v="0.375"/>
    <n v="6.0507970000000001E-2"/>
    <x v="1"/>
    <x v="1"/>
    <x v="0"/>
    <x v="0"/>
  </r>
  <r>
    <n v="844"/>
    <x v="0"/>
    <x v="0"/>
    <n v="0.43125000000000002"/>
    <n v="1.2565163000000001E-2"/>
    <x v="0"/>
    <x v="1"/>
    <x v="1"/>
    <x v="0"/>
  </r>
  <r>
    <n v="845"/>
    <x v="0"/>
    <x v="0"/>
    <n v="0.21249999999999999"/>
    <n v="1.6908073999999999E-2"/>
    <x v="0"/>
    <x v="1"/>
    <x v="1"/>
    <x v="0"/>
  </r>
  <r>
    <n v="846"/>
    <x v="0"/>
    <x v="0"/>
    <n v="0.52500000000000002"/>
    <n v="1.4736618999999999E-2"/>
    <x v="0"/>
    <x v="1"/>
    <x v="1"/>
    <x v="0"/>
  </r>
  <r>
    <n v="847"/>
    <x v="0"/>
    <x v="0"/>
    <n v="0.35"/>
    <n v="0.13575255899999999"/>
    <x v="0"/>
    <x v="1"/>
    <x v="1"/>
    <x v="1"/>
  </r>
  <r>
    <n v="848"/>
    <x v="0"/>
    <x v="0"/>
    <n v="0.4375"/>
    <n v="1.5411575E-2"/>
    <x v="0"/>
    <x v="1"/>
    <x v="1"/>
    <x v="0"/>
  </r>
  <r>
    <n v="849"/>
    <x v="0"/>
    <x v="0"/>
    <n v="0.35"/>
    <n v="6.4411709999999997E-2"/>
    <x v="0"/>
    <x v="0"/>
    <x v="0"/>
    <x v="4"/>
  </r>
  <r>
    <n v="850"/>
    <x v="1"/>
    <x v="1"/>
    <n v="0.35"/>
    <n v="0.173919816"/>
    <x v="1"/>
    <x v="1"/>
    <x v="0"/>
    <x v="4"/>
  </r>
  <r>
    <n v="851"/>
    <x v="0"/>
    <x v="0"/>
    <n v="0.05"/>
    <n v="6.1044735000000003E-2"/>
    <x v="0"/>
    <x v="1"/>
    <x v="1"/>
    <x v="5"/>
  </r>
  <r>
    <n v="852"/>
    <x v="0"/>
    <x v="0"/>
    <n v="0.92500000000000004"/>
    <n v="1.5175789E-2"/>
    <x v="0"/>
    <x v="1"/>
    <x v="1"/>
    <x v="0"/>
  </r>
  <r>
    <n v="853"/>
    <x v="0"/>
    <x v="1"/>
    <n v="0.1125"/>
    <n v="2.9757820000000001E-2"/>
    <x v="0"/>
    <x v="1"/>
    <x v="1"/>
    <x v="2"/>
  </r>
  <r>
    <n v="854"/>
    <x v="1"/>
    <x v="1"/>
    <n v="0.2"/>
    <n v="7.6903678000000003E-2"/>
    <x v="1"/>
    <x v="1"/>
    <x v="0"/>
    <x v="4"/>
  </r>
  <r>
    <n v="855"/>
    <x v="0"/>
    <x v="1"/>
    <n v="0.55000000000000004"/>
    <n v="5.0748620000000001E-2"/>
    <x v="0"/>
    <x v="0"/>
    <x v="0"/>
    <x v="4"/>
  </r>
  <r>
    <n v="856"/>
    <x v="1"/>
    <x v="1"/>
    <n v="0.22500000000000001"/>
    <n v="1.8249985E-2"/>
    <x v="0"/>
    <x v="1"/>
    <x v="1"/>
    <x v="4"/>
  </r>
  <r>
    <n v="857"/>
    <x v="1"/>
    <x v="1"/>
    <n v="0.5625"/>
    <n v="0.32179836699999997"/>
    <x v="1"/>
    <x v="1"/>
    <x v="0"/>
    <x v="2"/>
  </r>
  <r>
    <n v="858"/>
    <x v="1"/>
    <x v="0"/>
    <n v="0.63749999999999996"/>
    <n v="5.1822148999999998E-2"/>
    <x v="1"/>
    <x v="1"/>
    <x v="0"/>
    <x v="0"/>
  </r>
  <r>
    <n v="859"/>
    <x v="1"/>
    <x v="1"/>
    <n v="0.3"/>
    <n v="3.7589697999999998E-2"/>
    <x v="0"/>
    <x v="1"/>
    <x v="1"/>
    <x v="3"/>
  </r>
  <r>
    <n v="860"/>
    <x v="0"/>
    <x v="0"/>
    <n v="0.35"/>
    <n v="1.4110459000000001E-2"/>
    <x v="0"/>
    <x v="1"/>
    <x v="1"/>
    <x v="0"/>
  </r>
  <r>
    <n v="861"/>
    <x v="0"/>
    <x v="0"/>
    <n v="0.51249999999999996"/>
    <n v="2.7537567999999998E-2"/>
    <x v="0"/>
    <x v="1"/>
    <x v="1"/>
    <x v="2"/>
  </r>
  <r>
    <n v="862"/>
    <x v="0"/>
    <x v="0"/>
    <n v="0.26250000000000001"/>
    <n v="2.2446504999999999E-2"/>
    <x v="0"/>
    <x v="0"/>
    <x v="0"/>
    <x v="4"/>
  </r>
  <r>
    <n v="863"/>
    <x v="1"/>
    <x v="1"/>
    <n v="0.6"/>
    <n v="5.0610427999999999E-2"/>
    <x v="1"/>
    <x v="1"/>
    <x v="0"/>
    <x v="0"/>
  </r>
  <r>
    <n v="864"/>
    <x v="0"/>
    <x v="1"/>
    <n v="0.35"/>
    <n v="0.13575255899999999"/>
    <x v="0"/>
    <x v="1"/>
    <x v="1"/>
    <x v="1"/>
  </r>
  <r>
    <n v="865"/>
    <x v="0"/>
    <x v="0"/>
    <n v="0.3"/>
    <n v="2.5374310000000001E-2"/>
    <x v="0"/>
    <x v="0"/>
    <x v="0"/>
    <x v="0"/>
  </r>
  <r>
    <n v="866"/>
    <x v="1"/>
    <x v="1"/>
    <n v="0.52500000000000002"/>
    <n v="2.5374310000000001E-2"/>
    <x v="0"/>
    <x v="0"/>
    <x v="0"/>
    <x v="0"/>
  </r>
  <r>
    <n v="867"/>
    <x v="1"/>
    <x v="1"/>
    <n v="0.33750000000000002"/>
    <n v="2.70496E-2"/>
    <x v="0"/>
    <x v="0"/>
    <x v="0"/>
    <x v="4"/>
  </r>
  <r>
    <n v="868"/>
    <x v="0"/>
    <x v="0"/>
    <n v="0.38750000000000001"/>
    <n v="9.8561237999999995E-2"/>
    <x v="1"/>
    <x v="1"/>
    <x v="0"/>
    <x v="0"/>
  </r>
  <r>
    <n v="869"/>
    <x v="0"/>
    <x v="0"/>
    <n v="0.35"/>
    <n v="1.8542764999999999E-2"/>
    <x v="0"/>
    <x v="1"/>
    <x v="1"/>
    <x v="0"/>
  </r>
  <r>
    <n v="870"/>
    <x v="1"/>
    <x v="0"/>
    <n v="0.05"/>
    <n v="2.1730754000000001E-2"/>
    <x v="0"/>
    <x v="1"/>
    <x v="1"/>
    <x v="2"/>
  </r>
  <r>
    <n v="871"/>
    <x v="0"/>
    <x v="0"/>
    <n v="0.32500000000000001"/>
    <n v="1.5411575E-2"/>
    <x v="0"/>
    <x v="1"/>
    <x v="1"/>
    <x v="0"/>
  </r>
  <r>
    <n v="872"/>
    <x v="1"/>
    <x v="1"/>
    <n v="0.58750000000000002"/>
    <n v="0.10257896699999999"/>
    <x v="1"/>
    <x v="1"/>
    <x v="0"/>
    <x v="2"/>
  </r>
  <r>
    <n v="873"/>
    <x v="0"/>
    <x v="0"/>
    <n v="0.41249999999999998"/>
    <n v="9.75935E-3"/>
    <x v="1"/>
    <x v="1"/>
    <x v="0"/>
    <x v="0"/>
  </r>
  <r>
    <n v="874"/>
    <x v="0"/>
    <x v="0"/>
    <n v="0.58750000000000002"/>
    <n v="1.7566829999999999E-2"/>
    <x v="0"/>
    <x v="1"/>
    <x v="1"/>
    <x v="0"/>
  </r>
  <r>
    <n v="875"/>
    <x v="1"/>
    <x v="1"/>
    <n v="0.35"/>
    <n v="4.6844879999999998E-2"/>
    <x v="0"/>
    <x v="0"/>
    <x v="0"/>
    <x v="4"/>
  </r>
  <r>
    <n v="876"/>
    <x v="1"/>
    <x v="1"/>
    <n v="0.1875"/>
    <n v="1.4102261E-2"/>
    <x v="0"/>
    <x v="1"/>
    <x v="1"/>
    <x v="0"/>
  </r>
  <r>
    <n v="877"/>
    <x v="0"/>
    <x v="0"/>
    <n v="0.25"/>
    <n v="1.9217722E-2"/>
    <x v="0"/>
    <x v="1"/>
    <x v="1"/>
    <x v="0"/>
  </r>
  <r>
    <n v="878"/>
    <x v="0"/>
    <x v="0"/>
    <n v="0.23749999999999999"/>
    <n v="1.5411575E-2"/>
    <x v="0"/>
    <x v="1"/>
    <x v="1"/>
    <x v="0"/>
  </r>
  <r>
    <n v="879"/>
    <x v="0"/>
    <x v="0"/>
    <n v="0.35"/>
    <n v="1.5411575E-2"/>
    <x v="0"/>
    <x v="1"/>
    <x v="1"/>
    <x v="0"/>
  </r>
  <r>
    <n v="880"/>
    <x v="1"/>
    <x v="1"/>
    <n v="0.7"/>
    <n v="0.162314192"/>
    <x v="1"/>
    <x v="1"/>
    <x v="0"/>
    <x v="4"/>
  </r>
  <r>
    <n v="881"/>
    <x v="1"/>
    <x v="1"/>
    <n v="0.3125"/>
    <n v="5.0748620000000001E-2"/>
    <x v="0"/>
    <x v="0"/>
    <x v="0"/>
    <x v="4"/>
  </r>
  <r>
    <n v="882"/>
    <x v="0"/>
    <x v="0"/>
    <n v="0.41249999999999998"/>
    <n v="1.5411575E-2"/>
    <x v="0"/>
    <x v="1"/>
    <x v="1"/>
    <x v="0"/>
  </r>
  <r>
    <n v="883"/>
    <x v="0"/>
    <x v="1"/>
    <n v="0.27500000000000002"/>
    <n v="2.0527231E-2"/>
    <x v="0"/>
    <x v="1"/>
    <x v="1"/>
    <x v="0"/>
  </r>
  <r>
    <n v="884"/>
    <x v="0"/>
    <x v="0"/>
    <n v="0.35"/>
    <n v="2.0494635000000001E-2"/>
    <x v="0"/>
    <x v="0"/>
    <x v="0"/>
    <x v="0"/>
  </r>
  <r>
    <n v="885"/>
    <x v="0"/>
    <x v="0"/>
    <n v="0.3125"/>
    <n v="1.3760684E-2"/>
    <x v="0"/>
    <x v="1"/>
    <x v="1"/>
    <x v="0"/>
  </r>
  <r>
    <n v="886"/>
    <x v="0"/>
    <x v="1"/>
    <n v="0.48749999999999999"/>
    <n v="5.6848214000000001E-2"/>
    <x v="0"/>
    <x v="1"/>
    <x v="1"/>
    <x v="6"/>
  </r>
  <r>
    <n v="887"/>
    <x v="0"/>
    <x v="0"/>
    <n v="0.33750000000000002"/>
    <n v="2.5374310000000001E-2"/>
    <x v="0"/>
    <x v="0"/>
    <x v="0"/>
    <x v="0"/>
  </r>
  <r>
    <n v="888"/>
    <x v="1"/>
    <x v="1"/>
    <n v="0.23749999999999999"/>
    <n v="5.85561E-2"/>
    <x v="1"/>
    <x v="1"/>
    <x v="0"/>
    <x v="0"/>
  </r>
  <r>
    <n v="889"/>
    <x v="0"/>
    <x v="1"/>
    <n v="0.35"/>
    <n v="4.5771352000000001E-2"/>
    <x v="0"/>
    <x v="1"/>
    <x v="1"/>
    <x v="3"/>
  </r>
  <r>
    <n v="890"/>
    <x v="1"/>
    <x v="0"/>
    <n v="0.32500000000000001"/>
    <n v="5.85561E-2"/>
    <x v="1"/>
    <x v="1"/>
    <x v="0"/>
    <x v="0"/>
  </r>
  <r>
    <n v="891"/>
    <x v="0"/>
    <x v="0"/>
    <n v="0.4"/>
    <n v="1.5126993E-2"/>
    <x v="0"/>
    <x v="1"/>
    <x v="1"/>
    <x v="0"/>
  </r>
  <r>
    <m/>
    <x v="2"/>
    <x v="2"/>
    <m/>
    <m/>
    <x v="2"/>
    <x v="2"/>
    <x v="2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1">
  <r>
    <n v="792"/>
    <x v="0"/>
    <x v="0"/>
    <n v="0.2"/>
    <n v="5.0748620000000001E-2"/>
    <n v="0"/>
    <n v="1"/>
    <n v="0"/>
    <x v="0"/>
    <x v="0"/>
  </r>
  <r>
    <n v="793"/>
    <x v="0"/>
    <x v="1"/>
    <n v="0.35"/>
    <n v="0.13575255899999999"/>
    <n v="0"/>
    <n v="0"/>
    <n v="1"/>
    <x v="1"/>
    <x v="1"/>
  </r>
  <r>
    <n v="794"/>
    <x v="0"/>
    <x v="0"/>
    <n v="0.35"/>
    <n v="5.9914211000000002E-2"/>
    <n v="1"/>
    <n v="0"/>
    <n v="0"/>
    <x v="0"/>
    <x v="1"/>
  </r>
  <r>
    <n v="795"/>
    <x v="0"/>
    <x v="0"/>
    <n v="0.3125"/>
    <n v="1.5411575E-2"/>
    <n v="0"/>
    <n v="0"/>
    <n v="1"/>
    <x v="0"/>
    <x v="2"/>
  </r>
  <r>
    <n v="796"/>
    <x v="0"/>
    <x v="0"/>
    <n v="0.48749999999999999"/>
    <n v="2.5374310000000001E-2"/>
    <n v="0"/>
    <n v="1"/>
    <n v="0"/>
    <x v="0"/>
    <x v="3"/>
  </r>
  <r>
    <n v="797"/>
    <x v="1"/>
    <x v="1"/>
    <n v="0.61250000000000004"/>
    <n v="5.0610427999999999E-2"/>
    <n v="1"/>
    <n v="0"/>
    <n v="0"/>
    <x v="0"/>
    <x v="4"/>
  </r>
  <r>
    <n v="798"/>
    <x v="1"/>
    <x v="1"/>
    <n v="0.38750000000000001"/>
    <n v="1.6948673000000001E-2"/>
    <n v="0"/>
    <n v="0"/>
    <n v="1"/>
    <x v="0"/>
    <x v="5"/>
  </r>
  <r>
    <n v="799"/>
    <x v="0"/>
    <x v="0"/>
    <n v="0.375"/>
    <n v="1.4110459000000001E-2"/>
    <n v="0"/>
    <n v="0"/>
    <n v="1"/>
    <x v="0"/>
    <x v="6"/>
  </r>
  <r>
    <n v="800"/>
    <x v="0"/>
    <x v="1"/>
    <n v="0.375"/>
    <n v="4.7137660999999997E-2"/>
    <n v="0"/>
    <n v="0"/>
    <n v="1"/>
    <x v="2"/>
    <x v="6"/>
  </r>
  <r>
    <n v="801"/>
    <x v="0"/>
    <x v="0"/>
    <n v="0.42499999999999999"/>
    <n v="2.5374310000000001E-2"/>
    <n v="0"/>
    <n v="1"/>
    <n v="0"/>
    <x v="0"/>
    <x v="7"/>
  </r>
  <r>
    <n v="802"/>
    <x v="1"/>
    <x v="1"/>
    <n v="0.38750000000000001"/>
    <n v="5.1236588E-2"/>
    <n v="0"/>
    <n v="1"/>
    <n v="0"/>
    <x v="2"/>
    <x v="5"/>
  </r>
  <r>
    <n v="803"/>
    <x v="1"/>
    <x v="0"/>
    <n v="0.13750000000000001"/>
    <n v="0.234224401"/>
    <n v="1"/>
    <n v="0"/>
    <n v="0"/>
    <x v="3"/>
    <x v="8"/>
  </r>
  <r>
    <n v="804"/>
    <x v="1"/>
    <x v="0"/>
    <n v="5.2500000000000003E-3"/>
    <n v="1.6623491000000001E-2"/>
    <n v="0"/>
    <n v="0"/>
    <n v="1"/>
    <x v="1"/>
    <x v="9"/>
  </r>
  <r>
    <n v="805"/>
    <x v="1"/>
    <x v="0"/>
    <n v="0.33750000000000002"/>
    <n v="1.3614293E-2"/>
    <n v="0"/>
    <n v="0"/>
    <n v="1"/>
    <x v="0"/>
    <x v="10"/>
  </r>
  <r>
    <n v="806"/>
    <x v="0"/>
    <x v="0"/>
    <n v="0.38750000000000001"/>
    <n v="1.5175789E-2"/>
    <n v="0"/>
    <n v="0"/>
    <n v="1"/>
    <x v="0"/>
    <x v="5"/>
  </r>
  <r>
    <n v="807"/>
    <x v="0"/>
    <x v="0"/>
    <n v="0.48749999999999999"/>
    <n v="0"/>
    <n v="1"/>
    <n v="0"/>
    <n v="0"/>
    <x v="0"/>
    <x v="3"/>
  </r>
  <r>
    <n v="808"/>
    <x v="0"/>
    <x v="1"/>
    <n v="0.22500000000000001"/>
    <n v="1.5175789E-2"/>
    <n v="0"/>
    <n v="0"/>
    <n v="1"/>
    <x v="0"/>
    <x v="11"/>
  </r>
  <r>
    <n v="809"/>
    <x v="0"/>
    <x v="0"/>
    <n v="0.48749999999999999"/>
    <n v="2.5374310000000001E-2"/>
    <n v="0"/>
    <n v="1"/>
    <n v="0"/>
    <x v="0"/>
    <x v="3"/>
  </r>
  <r>
    <n v="810"/>
    <x v="1"/>
    <x v="1"/>
    <n v="0.41249999999999998"/>
    <n v="0.103644297"/>
    <n v="1"/>
    <n v="0"/>
    <n v="0"/>
    <x v="1"/>
    <x v="12"/>
  </r>
  <r>
    <n v="811"/>
    <x v="0"/>
    <x v="0"/>
    <n v="0.32500000000000001"/>
    <n v="1.5395374999999999E-2"/>
    <n v="0"/>
    <n v="0"/>
    <n v="1"/>
    <x v="0"/>
    <x v="13"/>
  </r>
  <r>
    <n v="812"/>
    <x v="0"/>
    <x v="0"/>
    <n v="0.48749999999999999"/>
    <n v="4.7137660999999997E-2"/>
    <n v="0"/>
    <n v="0"/>
    <n v="1"/>
    <x v="0"/>
    <x v="3"/>
  </r>
  <r>
    <n v="813"/>
    <x v="0"/>
    <x v="0"/>
    <n v="0.4375"/>
    <n v="2.0494635000000001E-2"/>
    <n v="0"/>
    <n v="1"/>
    <n v="0"/>
    <x v="0"/>
    <x v="14"/>
  </r>
  <r>
    <n v="814"/>
    <x v="0"/>
    <x v="1"/>
    <n v="7.4999999999999997E-2"/>
    <n v="6.1044735000000003E-2"/>
    <n v="0"/>
    <n v="0"/>
    <n v="1"/>
    <x v="4"/>
    <x v="15"/>
  </r>
  <r>
    <n v="815"/>
    <x v="0"/>
    <x v="0"/>
    <n v="0.38124999999999998"/>
    <n v="1.5712554E-2"/>
    <n v="0"/>
    <n v="0"/>
    <n v="1"/>
    <x v="0"/>
    <x v="16"/>
  </r>
  <r>
    <n v="816"/>
    <x v="0"/>
    <x v="0"/>
    <n v="0.35"/>
    <n v="0"/>
    <n v="1"/>
    <n v="0"/>
    <n v="0"/>
    <x v="0"/>
    <x v="1"/>
  </r>
  <r>
    <n v="817"/>
    <x v="0"/>
    <x v="1"/>
    <n v="0.28749999999999998"/>
    <n v="1.5468569999999999E-2"/>
    <n v="0"/>
    <n v="0"/>
    <n v="1"/>
    <x v="0"/>
    <x v="17"/>
  </r>
  <r>
    <n v="818"/>
    <x v="0"/>
    <x v="0"/>
    <n v="0.38750000000000001"/>
    <n v="7.2227388000000003E-2"/>
    <n v="0"/>
    <n v="1"/>
    <n v="0"/>
    <x v="2"/>
    <x v="5"/>
  </r>
  <r>
    <n v="819"/>
    <x v="0"/>
    <x v="0"/>
    <n v="0.53749999999999998"/>
    <n v="1.2589562E-2"/>
    <n v="0"/>
    <n v="0"/>
    <n v="1"/>
    <x v="0"/>
    <x v="18"/>
  </r>
  <r>
    <n v="820"/>
    <x v="0"/>
    <x v="0"/>
    <n v="0.125"/>
    <n v="5.4457172999999998E-2"/>
    <n v="0"/>
    <n v="0"/>
    <n v="1"/>
    <x v="5"/>
    <x v="19"/>
  </r>
  <r>
    <n v="821"/>
    <x v="1"/>
    <x v="1"/>
    <n v="0.65"/>
    <n v="0.18249984599999999"/>
    <n v="1"/>
    <n v="0"/>
    <n v="0"/>
    <x v="2"/>
    <x v="20"/>
  </r>
  <r>
    <n v="822"/>
    <x v="1"/>
    <x v="0"/>
    <n v="0.33750000000000002"/>
    <n v="1.6908073999999999E-2"/>
    <n v="0"/>
    <n v="0"/>
    <n v="1"/>
    <x v="0"/>
    <x v="10"/>
  </r>
  <r>
    <n v="823"/>
    <x v="0"/>
    <x v="0"/>
    <n v="0.47499999999999998"/>
    <n v="0"/>
    <n v="1"/>
    <n v="0"/>
    <n v="0"/>
    <x v="0"/>
    <x v="21"/>
  </r>
  <r>
    <n v="824"/>
    <x v="1"/>
    <x v="1"/>
    <n v="0.33750000000000002"/>
    <n v="2.4349578E-2"/>
    <n v="0"/>
    <n v="0"/>
    <n v="1"/>
    <x v="1"/>
    <x v="10"/>
  </r>
  <r>
    <n v="825"/>
    <x v="0"/>
    <x v="0"/>
    <n v="2.5000000000000001E-2"/>
    <n v="7.7464841000000006E-2"/>
    <n v="0"/>
    <n v="0"/>
    <n v="1"/>
    <x v="5"/>
    <x v="22"/>
  </r>
  <r>
    <n v="826"/>
    <x v="0"/>
    <x v="0"/>
    <n v="0.35"/>
    <n v="1.3565496999999999E-2"/>
    <n v="0"/>
    <n v="0"/>
    <n v="1"/>
    <x v="0"/>
    <x v="1"/>
  </r>
  <r>
    <n v="827"/>
    <x v="0"/>
    <x v="0"/>
    <n v="0.35"/>
    <n v="0.110272458"/>
    <n v="0"/>
    <n v="0"/>
    <n v="1"/>
    <x v="0"/>
    <x v="1"/>
  </r>
  <r>
    <n v="828"/>
    <x v="1"/>
    <x v="0"/>
    <n v="1.2500000000000001E-2"/>
    <n v="7.2227388000000003E-2"/>
    <n v="0"/>
    <n v="1"/>
    <n v="0"/>
    <x v="2"/>
    <x v="23"/>
  </r>
  <r>
    <n v="829"/>
    <x v="1"/>
    <x v="0"/>
    <n v="0.35"/>
    <n v="1.5126993E-2"/>
    <n v="0"/>
    <n v="0"/>
    <n v="1"/>
    <x v="0"/>
    <x v="1"/>
  </r>
  <r>
    <n v="830"/>
    <x v="1"/>
    <x v="1"/>
    <n v="0.77500000000000002"/>
    <n v="0.156149601"/>
    <n v="1"/>
    <n v="0"/>
    <n v="0"/>
    <x v="0"/>
    <x v="24"/>
  </r>
  <r>
    <n v="831"/>
    <x v="1"/>
    <x v="1"/>
    <n v="0.1875"/>
    <n v="2.8212719000000001E-2"/>
    <n v="0"/>
    <n v="0"/>
    <n v="1"/>
    <x v="1"/>
    <x v="25"/>
  </r>
  <r>
    <n v="832"/>
    <x v="1"/>
    <x v="0"/>
    <n v="1.0375000000000001E-2"/>
    <n v="3.6597563E-2"/>
    <n v="0"/>
    <n v="1"/>
    <n v="0"/>
    <x v="2"/>
    <x v="26"/>
  </r>
  <r>
    <n v="833"/>
    <x v="0"/>
    <x v="0"/>
    <n v="0.35"/>
    <n v="1.4110459000000001E-2"/>
    <n v="0"/>
    <n v="0"/>
    <n v="1"/>
    <x v="0"/>
    <x v="1"/>
  </r>
  <r>
    <n v="834"/>
    <x v="0"/>
    <x v="0"/>
    <n v="0.28749999999999998"/>
    <n v="1.5330376999999999E-2"/>
    <n v="0"/>
    <n v="0"/>
    <n v="1"/>
    <x v="0"/>
    <x v="17"/>
  </r>
  <r>
    <n v="835"/>
    <x v="0"/>
    <x v="0"/>
    <n v="0.22500000000000001"/>
    <n v="1.6200520999999999E-2"/>
    <n v="0"/>
    <n v="0"/>
    <n v="1"/>
    <x v="0"/>
    <x v="11"/>
  </r>
  <r>
    <n v="836"/>
    <x v="1"/>
    <x v="1"/>
    <n v="0.48749999999999999"/>
    <n v="0.162314192"/>
    <n v="1"/>
    <n v="0"/>
    <n v="0"/>
    <x v="2"/>
    <x v="3"/>
  </r>
  <r>
    <n v="837"/>
    <x v="0"/>
    <x v="0"/>
    <n v="0.26250000000000001"/>
    <n v="1.6908073999999999E-2"/>
    <n v="0"/>
    <n v="0"/>
    <n v="1"/>
    <x v="0"/>
    <x v="27"/>
  </r>
  <r>
    <n v="838"/>
    <x v="0"/>
    <x v="0"/>
    <n v="0.35"/>
    <n v="1.5712554E-2"/>
    <n v="0"/>
    <n v="0"/>
    <n v="1"/>
    <x v="0"/>
    <x v="1"/>
  </r>
  <r>
    <n v="839"/>
    <x v="1"/>
    <x v="0"/>
    <n v="0.4"/>
    <n v="0.110272458"/>
    <n v="0"/>
    <n v="0"/>
    <n v="1"/>
    <x v="0"/>
    <x v="28"/>
  </r>
  <r>
    <n v="840"/>
    <x v="1"/>
    <x v="0"/>
    <n v="0.35"/>
    <n v="5.7970539000000001E-2"/>
    <n v="1"/>
    <n v="0"/>
    <n v="0"/>
    <x v="0"/>
    <x v="1"/>
  </r>
  <r>
    <n v="841"/>
    <x v="0"/>
    <x v="0"/>
    <n v="0.25"/>
    <n v="1.5468569999999999E-2"/>
    <n v="0"/>
    <n v="0"/>
    <n v="1"/>
    <x v="0"/>
    <x v="29"/>
  </r>
  <r>
    <n v="842"/>
    <x v="0"/>
    <x v="0"/>
    <n v="0.2"/>
    <n v="2.0494635000000001E-2"/>
    <n v="0"/>
    <n v="1"/>
    <n v="0"/>
    <x v="0"/>
    <x v="0"/>
  </r>
  <r>
    <n v="843"/>
    <x v="1"/>
    <x v="1"/>
    <n v="0.375"/>
    <n v="6.0507970000000001E-2"/>
    <n v="1"/>
    <n v="0"/>
    <n v="0"/>
    <x v="0"/>
    <x v="6"/>
  </r>
  <r>
    <n v="844"/>
    <x v="0"/>
    <x v="0"/>
    <n v="0.43125000000000002"/>
    <n v="1.2565163000000001E-2"/>
    <n v="0"/>
    <n v="0"/>
    <n v="1"/>
    <x v="0"/>
    <x v="30"/>
  </r>
  <r>
    <n v="845"/>
    <x v="0"/>
    <x v="0"/>
    <n v="0.21249999999999999"/>
    <n v="1.6908073999999999E-2"/>
    <n v="0"/>
    <n v="0"/>
    <n v="1"/>
    <x v="0"/>
    <x v="31"/>
  </r>
  <r>
    <n v="846"/>
    <x v="0"/>
    <x v="0"/>
    <n v="0.52500000000000002"/>
    <n v="1.4736618999999999E-2"/>
    <n v="0"/>
    <n v="0"/>
    <n v="1"/>
    <x v="0"/>
    <x v="32"/>
  </r>
  <r>
    <n v="847"/>
    <x v="0"/>
    <x v="0"/>
    <n v="0.35"/>
    <n v="0.13575255899999999"/>
    <n v="0"/>
    <n v="0"/>
    <n v="1"/>
    <x v="1"/>
    <x v="1"/>
  </r>
  <r>
    <n v="848"/>
    <x v="0"/>
    <x v="0"/>
    <n v="0.4375"/>
    <n v="1.5411575E-2"/>
    <n v="0"/>
    <n v="0"/>
    <n v="1"/>
    <x v="0"/>
    <x v="14"/>
  </r>
  <r>
    <n v="849"/>
    <x v="0"/>
    <x v="0"/>
    <n v="0.35"/>
    <n v="6.4411709999999997E-2"/>
    <n v="0"/>
    <n v="1"/>
    <n v="0"/>
    <x v="1"/>
    <x v="1"/>
  </r>
  <r>
    <n v="850"/>
    <x v="1"/>
    <x v="1"/>
    <n v="0.35"/>
    <n v="0.173919816"/>
    <n v="1"/>
    <n v="0"/>
    <n v="0"/>
    <x v="1"/>
    <x v="1"/>
  </r>
  <r>
    <n v="851"/>
    <x v="0"/>
    <x v="0"/>
    <n v="0.05"/>
    <n v="6.1044735000000003E-2"/>
    <n v="0"/>
    <n v="0"/>
    <n v="1"/>
    <x v="4"/>
    <x v="33"/>
  </r>
  <r>
    <n v="852"/>
    <x v="0"/>
    <x v="0"/>
    <n v="0.92500000000000004"/>
    <n v="1.5175789E-2"/>
    <n v="0"/>
    <n v="0"/>
    <n v="1"/>
    <x v="0"/>
    <x v="34"/>
  </r>
  <r>
    <n v="853"/>
    <x v="0"/>
    <x v="1"/>
    <n v="0.1125"/>
    <n v="2.9757820000000001E-2"/>
    <n v="0"/>
    <n v="0"/>
    <n v="1"/>
    <x v="2"/>
    <x v="35"/>
  </r>
  <r>
    <n v="854"/>
    <x v="1"/>
    <x v="1"/>
    <n v="0.2"/>
    <n v="7.6903678000000003E-2"/>
    <n v="1"/>
    <n v="0"/>
    <n v="0"/>
    <x v="1"/>
    <x v="0"/>
  </r>
  <r>
    <n v="855"/>
    <x v="0"/>
    <x v="1"/>
    <n v="0.55000000000000004"/>
    <n v="5.0748620000000001E-2"/>
    <n v="0"/>
    <n v="1"/>
    <n v="0"/>
    <x v="1"/>
    <x v="36"/>
  </r>
  <r>
    <n v="856"/>
    <x v="1"/>
    <x v="1"/>
    <n v="0.22500000000000001"/>
    <n v="1.8249985E-2"/>
    <n v="0"/>
    <n v="0"/>
    <n v="1"/>
    <x v="1"/>
    <x v="11"/>
  </r>
  <r>
    <n v="857"/>
    <x v="1"/>
    <x v="1"/>
    <n v="0.5625"/>
    <n v="0.32179836699999997"/>
    <n v="1"/>
    <n v="0"/>
    <n v="0"/>
    <x v="2"/>
    <x v="37"/>
  </r>
  <r>
    <n v="858"/>
    <x v="1"/>
    <x v="0"/>
    <n v="0.63749999999999996"/>
    <n v="5.1822148999999998E-2"/>
    <n v="1"/>
    <n v="0"/>
    <n v="0"/>
    <x v="0"/>
    <x v="38"/>
  </r>
  <r>
    <n v="859"/>
    <x v="1"/>
    <x v="1"/>
    <n v="0.3"/>
    <n v="3.7589697999999998E-2"/>
    <n v="0"/>
    <n v="0"/>
    <n v="1"/>
    <x v="3"/>
    <x v="39"/>
  </r>
  <r>
    <n v="860"/>
    <x v="0"/>
    <x v="0"/>
    <n v="0.35"/>
    <n v="1.4110459000000001E-2"/>
    <n v="0"/>
    <n v="0"/>
    <n v="1"/>
    <x v="0"/>
    <x v="1"/>
  </r>
  <r>
    <n v="861"/>
    <x v="0"/>
    <x v="0"/>
    <n v="0.51249999999999996"/>
    <n v="2.7537567999999998E-2"/>
    <n v="0"/>
    <n v="0"/>
    <n v="1"/>
    <x v="2"/>
    <x v="40"/>
  </r>
  <r>
    <n v="862"/>
    <x v="0"/>
    <x v="0"/>
    <n v="0.26250000000000001"/>
    <n v="2.2446504999999999E-2"/>
    <n v="0"/>
    <n v="1"/>
    <n v="0"/>
    <x v="1"/>
    <x v="27"/>
  </r>
  <r>
    <n v="863"/>
    <x v="1"/>
    <x v="1"/>
    <n v="0.6"/>
    <n v="5.0610427999999999E-2"/>
    <n v="1"/>
    <n v="0"/>
    <n v="0"/>
    <x v="0"/>
    <x v="41"/>
  </r>
  <r>
    <n v="864"/>
    <x v="0"/>
    <x v="1"/>
    <n v="0.35"/>
    <n v="0.13575255899999999"/>
    <n v="0"/>
    <n v="0"/>
    <n v="1"/>
    <x v="1"/>
    <x v="1"/>
  </r>
  <r>
    <n v="865"/>
    <x v="0"/>
    <x v="0"/>
    <n v="0.3"/>
    <n v="2.5374310000000001E-2"/>
    <n v="0"/>
    <n v="1"/>
    <n v="0"/>
    <x v="0"/>
    <x v="39"/>
  </r>
  <r>
    <n v="866"/>
    <x v="1"/>
    <x v="1"/>
    <n v="0.52500000000000002"/>
    <n v="2.5374310000000001E-2"/>
    <n v="0"/>
    <n v="1"/>
    <n v="0"/>
    <x v="0"/>
    <x v="32"/>
  </r>
  <r>
    <n v="867"/>
    <x v="1"/>
    <x v="1"/>
    <n v="0.33750000000000002"/>
    <n v="2.70496E-2"/>
    <n v="0"/>
    <n v="1"/>
    <n v="0"/>
    <x v="1"/>
    <x v="10"/>
  </r>
  <r>
    <n v="868"/>
    <x v="0"/>
    <x v="0"/>
    <n v="0.38750000000000001"/>
    <n v="9.8561237999999995E-2"/>
    <n v="1"/>
    <n v="0"/>
    <n v="0"/>
    <x v="0"/>
    <x v="5"/>
  </r>
  <r>
    <n v="869"/>
    <x v="0"/>
    <x v="0"/>
    <n v="0.35"/>
    <n v="1.8542764999999999E-2"/>
    <n v="0"/>
    <n v="0"/>
    <n v="1"/>
    <x v="0"/>
    <x v="1"/>
  </r>
  <r>
    <n v="870"/>
    <x v="1"/>
    <x v="0"/>
    <n v="0.05"/>
    <n v="2.1730754000000001E-2"/>
    <n v="0"/>
    <n v="0"/>
    <n v="1"/>
    <x v="2"/>
    <x v="33"/>
  </r>
  <r>
    <n v="871"/>
    <x v="0"/>
    <x v="0"/>
    <n v="0.32500000000000001"/>
    <n v="1.5411575E-2"/>
    <n v="0"/>
    <n v="0"/>
    <n v="1"/>
    <x v="0"/>
    <x v="13"/>
  </r>
  <r>
    <n v="872"/>
    <x v="1"/>
    <x v="1"/>
    <n v="0.58750000000000002"/>
    <n v="0.10257896699999999"/>
    <n v="1"/>
    <n v="0"/>
    <n v="0"/>
    <x v="2"/>
    <x v="42"/>
  </r>
  <r>
    <n v="873"/>
    <x v="0"/>
    <x v="0"/>
    <n v="0.41249999999999998"/>
    <n v="9.75935E-3"/>
    <n v="1"/>
    <n v="0"/>
    <n v="0"/>
    <x v="0"/>
    <x v="12"/>
  </r>
  <r>
    <n v="874"/>
    <x v="0"/>
    <x v="0"/>
    <n v="0.58750000000000002"/>
    <n v="1.7566829999999999E-2"/>
    <n v="0"/>
    <n v="0"/>
    <n v="1"/>
    <x v="0"/>
    <x v="42"/>
  </r>
  <r>
    <n v="875"/>
    <x v="1"/>
    <x v="1"/>
    <n v="0.35"/>
    <n v="4.6844879999999998E-2"/>
    <n v="0"/>
    <n v="1"/>
    <n v="0"/>
    <x v="1"/>
    <x v="1"/>
  </r>
  <r>
    <n v="876"/>
    <x v="1"/>
    <x v="1"/>
    <n v="0.1875"/>
    <n v="1.4102261E-2"/>
    <n v="0"/>
    <n v="0"/>
    <n v="1"/>
    <x v="0"/>
    <x v="25"/>
  </r>
  <r>
    <n v="877"/>
    <x v="0"/>
    <x v="0"/>
    <n v="0.25"/>
    <n v="1.9217722E-2"/>
    <n v="0"/>
    <n v="0"/>
    <n v="1"/>
    <x v="0"/>
    <x v="29"/>
  </r>
  <r>
    <n v="878"/>
    <x v="0"/>
    <x v="0"/>
    <n v="0.23749999999999999"/>
    <n v="1.5411575E-2"/>
    <n v="0"/>
    <n v="0"/>
    <n v="1"/>
    <x v="0"/>
    <x v="43"/>
  </r>
  <r>
    <n v="879"/>
    <x v="0"/>
    <x v="0"/>
    <n v="0.35"/>
    <n v="1.5411575E-2"/>
    <n v="0"/>
    <n v="0"/>
    <n v="1"/>
    <x v="0"/>
    <x v="1"/>
  </r>
  <r>
    <n v="880"/>
    <x v="1"/>
    <x v="1"/>
    <n v="0.7"/>
    <n v="0.162314192"/>
    <n v="1"/>
    <n v="0"/>
    <n v="0"/>
    <x v="1"/>
    <x v="44"/>
  </r>
  <r>
    <n v="881"/>
    <x v="1"/>
    <x v="1"/>
    <n v="0.3125"/>
    <n v="5.0748620000000001E-2"/>
    <n v="0"/>
    <n v="1"/>
    <n v="0"/>
    <x v="1"/>
    <x v="2"/>
  </r>
  <r>
    <n v="882"/>
    <x v="0"/>
    <x v="0"/>
    <n v="0.41249999999999998"/>
    <n v="1.5411575E-2"/>
    <n v="0"/>
    <n v="0"/>
    <n v="1"/>
    <x v="0"/>
    <x v="12"/>
  </r>
  <r>
    <n v="883"/>
    <x v="0"/>
    <x v="1"/>
    <n v="0.27500000000000002"/>
    <n v="2.0527231E-2"/>
    <n v="0"/>
    <n v="0"/>
    <n v="1"/>
    <x v="0"/>
    <x v="45"/>
  </r>
  <r>
    <n v="884"/>
    <x v="0"/>
    <x v="0"/>
    <n v="0.35"/>
    <n v="2.0494635000000001E-2"/>
    <n v="0"/>
    <n v="1"/>
    <n v="0"/>
    <x v="0"/>
    <x v="1"/>
  </r>
  <r>
    <n v="885"/>
    <x v="0"/>
    <x v="0"/>
    <n v="0.3125"/>
    <n v="1.3760684E-2"/>
    <n v="0"/>
    <n v="0"/>
    <n v="1"/>
    <x v="0"/>
    <x v="2"/>
  </r>
  <r>
    <n v="886"/>
    <x v="0"/>
    <x v="1"/>
    <n v="0.48749999999999999"/>
    <n v="5.6848214000000001E-2"/>
    <n v="0"/>
    <n v="0"/>
    <n v="1"/>
    <x v="5"/>
    <x v="3"/>
  </r>
  <r>
    <n v="887"/>
    <x v="0"/>
    <x v="0"/>
    <n v="0.33750000000000002"/>
    <n v="2.5374310000000001E-2"/>
    <n v="0"/>
    <n v="1"/>
    <n v="0"/>
    <x v="0"/>
    <x v="10"/>
  </r>
  <r>
    <n v="888"/>
    <x v="1"/>
    <x v="1"/>
    <n v="0.23749999999999999"/>
    <n v="5.85561E-2"/>
    <n v="1"/>
    <n v="0"/>
    <n v="0"/>
    <x v="0"/>
    <x v="43"/>
  </r>
  <r>
    <n v="889"/>
    <x v="0"/>
    <x v="1"/>
    <n v="0.35"/>
    <n v="4.5771352000000001E-2"/>
    <n v="0"/>
    <n v="0"/>
    <n v="1"/>
    <x v="3"/>
    <x v="1"/>
  </r>
  <r>
    <n v="890"/>
    <x v="1"/>
    <x v="0"/>
    <n v="0.32500000000000001"/>
    <n v="5.85561E-2"/>
    <n v="1"/>
    <n v="0"/>
    <n v="0"/>
    <x v="0"/>
    <x v="13"/>
  </r>
  <r>
    <n v="891"/>
    <x v="0"/>
    <x v="0"/>
    <n v="0.4"/>
    <n v="1.5126993E-2"/>
    <n v="0"/>
    <n v="0"/>
    <n v="1"/>
    <x v="0"/>
    <x v="28"/>
  </r>
  <r>
    <m/>
    <x v="2"/>
    <x v="2"/>
    <m/>
    <m/>
    <m/>
    <m/>
    <m/>
    <x v="6"/>
    <x v="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0" cacheId="19" dataOnRows="1" applyNumberFormats="0" applyBorderFormats="0" applyFontFormats="0" applyPatternFormats="0" applyAlignmentFormats="0" applyWidthHeightFormats="1" dataCaption="Values" grandTotalCaption="Survivors" updatedVersion="8" minRefreshableVersion="3" useAutoFormatting="1" itemPrintTitles="1" createdVersion="8" indent="0" outline="1" outlineData="1" multipleFieldFilters="0" chartFormat="4">
  <location ref="I29:L33" firstHeaderRow="1" firstDataRow="2" firstDataCol="1"/>
  <pivotFields count="9">
    <pivotField showAll="0"/>
    <pivotField axis="axisCol" showAll="0" sumSubtotal="1">
      <items count="4">
        <item x="0"/>
        <item x="1"/>
        <item h="1" x="2"/>
        <item t="sum"/>
      </items>
    </pivotField>
    <pivotField showAll="0" countASubtotal="1">
      <items count="4">
        <item x="1"/>
        <item x="0"/>
        <item x="2"/>
        <item t="countA"/>
      </items>
    </pivotField>
    <pivotField showAll="0"/>
    <pivotField showAll="0"/>
    <pivotField dataField="1" showAll="0">
      <items count="4">
        <item x="0"/>
        <item x="1"/>
        <item x="2"/>
        <item t="default"/>
      </items>
    </pivotField>
    <pivotField dataField="1" showAll="0">
      <items count="4">
        <item x="1"/>
        <item x="0"/>
        <item x="2"/>
        <item t="default"/>
      </items>
    </pivotField>
    <pivotField dataField="1" showAll="0">
      <items count="4">
        <item x="0"/>
        <item x="1"/>
        <item x="2"/>
        <item t="default"/>
      </items>
    </pivotField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3">
    <i>
      <x/>
    </i>
    <i>
      <x v="1"/>
    </i>
    <i t="grand">
      <x/>
    </i>
  </colItems>
  <dataFields count="3">
    <dataField name="Sum of Pclass_1" fld="5" baseField="0" baseItem="0"/>
    <dataField name="Sum of Pclass_2" fld="6" baseField="0" baseItem="0"/>
    <dataField name="Sum of Pclass_3" fld="7" baseField="0" baseItem="0"/>
  </dataFields>
  <chartFormats count="15">
    <chartFormat chart="0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4:J11" firstHeaderRow="1" firstDataRow="1" firstDataCol="1"/>
  <pivotFields count="10">
    <pivotField showAll="0"/>
    <pivotField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countASubtotal="1">
      <items count="8">
        <item x="0"/>
        <item x="1"/>
        <item x="2"/>
        <item x="3"/>
        <item x="5"/>
        <item x="4"/>
        <item h="1" x="6"/>
        <item t="countA"/>
      </items>
    </pivotField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urvived" fld="1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8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4:D27" firstHeaderRow="0" firstDataRow="1" firstDataCol="1"/>
  <pivotFields count="10"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class_1" fld="5" baseField="0" baseItem="0"/>
    <dataField name="Sum of Pclass_2" fld="6" baseField="0" baseItem="0"/>
    <dataField name="Sum of Pclass_3" fld="7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4" firstHeaderRow="1" firstDataRow="1" firstDataCol="1"/>
  <pivotFields count="10">
    <pivotField showAll="0"/>
    <pivotField showAll="0"/>
    <pivotField axis="axisRow" showAll="0" sumSubtotal="1">
      <items count="4">
        <item x="1"/>
        <item x="0"/>
        <item h="1" x="2"/>
        <item t="sum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48">
        <item x="9"/>
        <item x="26"/>
        <item x="23"/>
        <item x="22"/>
        <item x="33"/>
        <item x="15"/>
        <item x="35"/>
        <item x="19"/>
        <item x="8"/>
        <item x="25"/>
        <item x="0"/>
        <item x="31"/>
        <item x="11"/>
        <item x="43"/>
        <item x="29"/>
        <item x="27"/>
        <item x="45"/>
        <item x="17"/>
        <item x="39"/>
        <item x="2"/>
        <item x="13"/>
        <item x="10"/>
        <item x="1"/>
        <item x="6"/>
        <item x="16"/>
        <item x="5"/>
        <item x="28"/>
        <item x="12"/>
        <item x="7"/>
        <item x="30"/>
        <item x="14"/>
        <item x="21"/>
        <item x="3"/>
        <item x="40"/>
        <item x="32"/>
        <item x="18"/>
        <item x="36"/>
        <item x="37"/>
        <item x="42"/>
        <item x="41"/>
        <item x="4"/>
        <item x="38"/>
        <item x="20"/>
        <item x="44"/>
        <item x="24"/>
        <item x="34"/>
        <item x="46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Average of AgeUpdated" fld="9" subtotal="average" baseField="0" baseItem="0"/>
  </dataFields>
  <formats count="3">
    <format dxfId="2">
      <pivotArea collapsedLevelsAreSubtotals="1" fieldPosition="0">
        <references count="1">
          <reference field="2" count="1">
            <x v="1"/>
          </reference>
        </references>
      </pivotArea>
    </format>
    <format dxfId="1">
      <pivotArea collapsedLevelsAreSubtotals="1" fieldPosition="0">
        <references count="1">
          <reference field="2" count="1">
            <x v="0"/>
          </reference>
        </references>
      </pivotArea>
    </format>
    <format dxfId="0">
      <pivotArea grandRow="1" outline="0" collapsedLevelsAreSubtotals="1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tabSelected="1" workbookViewId="0">
      <selection activeCell="I31" sqref="I31:I33"/>
      <pivotSelection pane="bottomRight" showHeader="1" axis="axisRow" activeRow="29" activeCol="8" previousRow="29" previousCol="8" click="1" r:id="rId1">
        <pivotArea dataOnly="0" labelOnly="1" fieldPosition="0">
          <references count="1">
            <reference field="4294967294" count="0"/>
          </references>
        </pivotArea>
      </pivotSelection>
    </sheetView>
  </sheetViews>
  <sheetFormatPr baseColWidth="10" defaultRowHeight="16" x14ac:dyDescent="0.2"/>
  <cols>
    <col min="1" max="1" width="13" bestFit="1" customWidth="1"/>
    <col min="2" max="4" width="14.5" bestFit="1" customWidth="1"/>
    <col min="9" max="9" width="13" bestFit="1" customWidth="1"/>
    <col min="10" max="10" width="14.6640625" bestFit="1" customWidth="1"/>
    <col min="11" max="11" width="3.1640625" bestFit="1" customWidth="1"/>
    <col min="12" max="12" width="8.83203125" bestFit="1" customWidth="1"/>
    <col min="13" max="15" width="2.1640625" bestFit="1" customWidth="1"/>
    <col min="16" max="16" width="10.83203125" bestFit="1" customWidth="1"/>
  </cols>
  <sheetData>
    <row r="1" spans="1:10" x14ac:dyDescent="0.2">
      <c r="A1" s="4" t="s">
        <v>9</v>
      </c>
      <c r="B1" t="s">
        <v>19</v>
      </c>
    </row>
    <row r="2" spans="1:10" x14ac:dyDescent="0.2">
      <c r="A2" s="5">
        <v>0</v>
      </c>
      <c r="B2" s="2">
        <v>38.642857142857146</v>
      </c>
    </row>
    <row r="3" spans="1:10" x14ac:dyDescent="0.2">
      <c r="A3" s="5">
        <v>1</v>
      </c>
      <c r="B3" s="2">
        <v>33.908653846153847</v>
      </c>
    </row>
    <row r="4" spans="1:10" x14ac:dyDescent="0.2">
      <c r="A4" s="5" t="s">
        <v>10</v>
      </c>
      <c r="B4" s="2">
        <v>35.565624999999997</v>
      </c>
      <c r="I4" s="4" t="s">
        <v>9</v>
      </c>
      <c r="J4" t="s">
        <v>14</v>
      </c>
    </row>
    <row r="5" spans="1:10" x14ac:dyDescent="0.2">
      <c r="I5" s="5">
        <v>0</v>
      </c>
      <c r="J5" s="6">
        <v>15</v>
      </c>
    </row>
    <row r="6" spans="1:10" x14ac:dyDescent="0.2">
      <c r="I6" s="5">
        <v>1</v>
      </c>
      <c r="J6" s="6">
        <v>11</v>
      </c>
    </row>
    <row r="7" spans="1:10" x14ac:dyDescent="0.2">
      <c r="I7" s="5">
        <v>2</v>
      </c>
      <c r="J7" s="6">
        <v>8</v>
      </c>
    </row>
    <row r="8" spans="1:10" x14ac:dyDescent="0.2">
      <c r="I8" s="5">
        <v>3</v>
      </c>
      <c r="J8" s="6">
        <v>2</v>
      </c>
    </row>
    <row r="9" spans="1:10" x14ac:dyDescent="0.2">
      <c r="I9" s="5">
        <v>5</v>
      </c>
      <c r="J9" s="6">
        <v>0</v>
      </c>
    </row>
    <row r="10" spans="1:10" x14ac:dyDescent="0.2">
      <c r="I10" s="5">
        <v>6</v>
      </c>
      <c r="J10" s="6">
        <v>0</v>
      </c>
    </row>
    <row r="11" spans="1:10" x14ac:dyDescent="0.2">
      <c r="I11" s="5" t="s">
        <v>10</v>
      </c>
      <c r="J11" s="6">
        <v>36</v>
      </c>
    </row>
    <row r="24" spans="1:12" x14ac:dyDescent="0.2">
      <c r="A24" s="4" t="s">
        <v>9</v>
      </c>
      <c r="B24" t="s">
        <v>11</v>
      </c>
      <c r="C24" t="s">
        <v>12</v>
      </c>
      <c r="D24" t="s">
        <v>13</v>
      </c>
    </row>
    <row r="25" spans="1:12" x14ac:dyDescent="0.2">
      <c r="A25" s="5">
        <v>0</v>
      </c>
      <c r="B25" s="6">
        <v>13</v>
      </c>
      <c r="C25" s="6">
        <v>6</v>
      </c>
      <c r="D25" s="6">
        <v>16</v>
      </c>
    </row>
    <row r="26" spans="1:12" x14ac:dyDescent="0.2">
      <c r="A26" s="5">
        <v>1</v>
      </c>
      <c r="B26" s="6">
        <v>10</v>
      </c>
      <c r="C26" s="6">
        <v>14</v>
      </c>
      <c r="D26" s="6">
        <v>41</v>
      </c>
    </row>
    <row r="27" spans="1:12" x14ac:dyDescent="0.2">
      <c r="A27" s="5" t="s">
        <v>10</v>
      </c>
      <c r="B27" s="6">
        <v>23</v>
      </c>
      <c r="C27" s="6">
        <v>20</v>
      </c>
      <c r="D27" s="6">
        <v>57</v>
      </c>
    </row>
    <row r="29" spans="1:12" x14ac:dyDescent="0.2">
      <c r="J29" s="4" t="s">
        <v>16</v>
      </c>
    </row>
    <row r="30" spans="1:12" x14ac:dyDescent="0.2">
      <c r="I30" s="4" t="s">
        <v>17</v>
      </c>
      <c r="J30">
        <v>0</v>
      </c>
      <c r="K30">
        <v>1</v>
      </c>
      <c r="L30" t="s">
        <v>15</v>
      </c>
    </row>
    <row r="31" spans="1:12" x14ac:dyDescent="0.2">
      <c r="I31" s="5" t="s">
        <v>11</v>
      </c>
      <c r="J31" s="6">
        <v>6</v>
      </c>
      <c r="K31" s="6">
        <v>17</v>
      </c>
      <c r="L31" s="6">
        <v>23</v>
      </c>
    </row>
    <row r="32" spans="1:12" x14ac:dyDescent="0.2">
      <c r="I32" s="5" t="s">
        <v>12</v>
      </c>
      <c r="J32" s="6">
        <v>13</v>
      </c>
      <c r="K32" s="6">
        <v>7</v>
      </c>
      <c r="L32" s="6">
        <v>20</v>
      </c>
    </row>
    <row r="33" spans="9:12" x14ac:dyDescent="0.2">
      <c r="I33" s="5" t="s">
        <v>13</v>
      </c>
      <c r="J33" s="6">
        <v>45</v>
      </c>
      <c r="K33" s="6">
        <v>12</v>
      </c>
      <c r="L33" s="6">
        <v>57</v>
      </c>
    </row>
  </sheetData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1"/>
  <sheetViews>
    <sheetView topLeftCell="E1" workbookViewId="0">
      <selection activeCell="I1" sqref="I1:I1048576"/>
    </sheetView>
  </sheetViews>
  <sheetFormatPr baseColWidth="10" defaultRowHeight="16" x14ac:dyDescent="0.2"/>
  <cols>
    <col min="5" max="5" width="12.6640625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18</v>
      </c>
    </row>
    <row r="2" spans="1:10" x14ac:dyDescent="0.2">
      <c r="A2">
        <v>792</v>
      </c>
      <c r="B2">
        <v>0</v>
      </c>
      <c r="C2">
        <v>1</v>
      </c>
      <c r="D2" s="3">
        <v>0.2</v>
      </c>
      <c r="E2" s="1">
        <v>5.0748620000000001E-2</v>
      </c>
      <c r="F2">
        <f>IF(B2-0&gt;0,1,0)</f>
        <v>0</v>
      </c>
      <c r="G2">
        <v>1</v>
      </c>
      <c r="H2">
        <v>0</v>
      </c>
      <c r="I2">
        <v>0</v>
      </c>
      <c r="J2" s="2">
        <f>D2*100</f>
        <v>20</v>
      </c>
    </row>
    <row r="3" spans="1:10" x14ac:dyDescent="0.2">
      <c r="A3">
        <v>793</v>
      </c>
      <c r="B3">
        <v>0</v>
      </c>
      <c r="C3">
        <v>0</v>
      </c>
      <c r="D3" s="3">
        <v>0.35</v>
      </c>
      <c r="E3" s="1">
        <v>0.13575255899999999</v>
      </c>
      <c r="F3">
        <v>0</v>
      </c>
      <c r="G3">
        <v>0</v>
      </c>
      <c r="H3">
        <v>1</v>
      </c>
      <c r="I3">
        <v>1</v>
      </c>
      <c r="J3" s="2">
        <f t="shared" ref="J3:J66" si="0">D3*100</f>
        <v>35</v>
      </c>
    </row>
    <row r="4" spans="1:10" x14ac:dyDescent="0.2">
      <c r="A4">
        <v>794</v>
      </c>
      <c r="B4">
        <v>0</v>
      </c>
      <c r="C4">
        <v>1</v>
      </c>
      <c r="D4" s="3">
        <v>0.35</v>
      </c>
      <c r="E4" s="1">
        <v>5.9914211000000002E-2</v>
      </c>
      <c r="F4">
        <v>1</v>
      </c>
      <c r="G4">
        <v>0</v>
      </c>
      <c r="H4">
        <v>0</v>
      </c>
      <c r="I4">
        <v>0</v>
      </c>
      <c r="J4" s="2">
        <f t="shared" si="0"/>
        <v>35</v>
      </c>
    </row>
    <row r="5" spans="1:10" x14ac:dyDescent="0.2">
      <c r="A5">
        <v>795</v>
      </c>
      <c r="B5">
        <v>0</v>
      </c>
      <c r="C5">
        <v>1</v>
      </c>
      <c r="D5" s="3">
        <v>0.3125</v>
      </c>
      <c r="E5" s="1">
        <v>1.5411575E-2</v>
      </c>
      <c r="F5">
        <v>0</v>
      </c>
      <c r="G5">
        <v>0</v>
      </c>
      <c r="H5">
        <v>1</v>
      </c>
      <c r="I5">
        <v>0</v>
      </c>
      <c r="J5" s="2">
        <f t="shared" si="0"/>
        <v>31.25</v>
      </c>
    </row>
    <row r="6" spans="1:10" x14ac:dyDescent="0.2">
      <c r="A6">
        <v>796</v>
      </c>
      <c r="B6">
        <v>0</v>
      </c>
      <c r="C6">
        <v>1</v>
      </c>
      <c r="D6" s="3">
        <v>0.48749999999999999</v>
      </c>
      <c r="E6" s="1">
        <v>2.5374310000000001E-2</v>
      </c>
      <c r="F6">
        <v>0</v>
      </c>
      <c r="G6">
        <v>1</v>
      </c>
      <c r="H6">
        <v>0</v>
      </c>
      <c r="I6">
        <v>0</v>
      </c>
      <c r="J6" s="2">
        <f t="shared" si="0"/>
        <v>48.75</v>
      </c>
    </row>
    <row r="7" spans="1:10" x14ac:dyDescent="0.2">
      <c r="A7">
        <v>797</v>
      </c>
      <c r="B7">
        <v>1</v>
      </c>
      <c r="C7">
        <v>0</v>
      </c>
      <c r="D7" s="3">
        <v>0.61250000000000004</v>
      </c>
      <c r="E7" s="1">
        <v>5.0610427999999999E-2</v>
      </c>
      <c r="F7">
        <v>1</v>
      </c>
      <c r="G7">
        <v>0</v>
      </c>
      <c r="H7">
        <v>0</v>
      </c>
      <c r="I7">
        <v>0</v>
      </c>
      <c r="J7" s="2">
        <f t="shared" si="0"/>
        <v>61.250000000000007</v>
      </c>
    </row>
    <row r="8" spans="1:10" x14ac:dyDescent="0.2">
      <c r="A8">
        <v>798</v>
      </c>
      <c r="B8">
        <v>1</v>
      </c>
      <c r="C8">
        <v>0</v>
      </c>
      <c r="D8" s="3">
        <v>0.38750000000000001</v>
      </c>
      <c r="E8" s="1">
        <v>1.6948673000000001E-2</v>
      </c>
      <c r="F8">
        <v>0</v>
      </c>
      <c r="G8">
        <v>0</v>
      </c>
      <c r="H8">
        <v>1</v>
      </c>
      <c r="I8">
        <v>0</v>
      </c>
      <c r="J8" s="2">
        <f t="shared" si="0"/>
        <v>38.75</v>
      </c>
    </row>
    <row r="9" spans="1:10" x14ac:dyDescent="0.2">
      <c r="A9">
        <v>799</v>
      </c>
      <c r="B9">
        <v>0</v>
      </c>
      <c r="C9">
        <v>1</v>
      </c>
      <c r="D9" s="3">
        <v>0.375</v>
      </c>
      <c r="E9" s="1">
        <v>1.4110459000000001E-2</v>
      </c>
      <c r="F9">
        <v>0</v>
      </c>
      <c r="G9">
        <v>0</v>
      </c>
      <c r="H9">
        <v>1</v>
      </c>
      <c r="I9">
        <v>0</v>
      </c>
      <c r="J9" s="2">
        <f t="shared" si="0"/>
        <v>37.5</v>
      </c>
    </row>
    <row r="10" spans="1:10" x14ac:dyDescent="0.2">
      <c r="A10">
        <v>800</v>
      </c>
      <c r="B10">
        <v>0</v>
      </c>
      <c r="C10">
        <v>0</v>
      </c>
      <c r="D10" s="3">
        <v>0.375</v>
      </c>
      <c r="E10" s="1">
        <v>4.7137660999999997E-2</v>
      </c>
      <c r="F10">
        <v>0</v>
      </c>
      <c r="G10">
        <v>0</v>
      </c>
      <c r="H10">
        <v>1</v>
      </c>
      <c r="I10">
        <v>2</v>
      </c>
      <c r="J10" s="2">
        <f t="shared" si="0"/>
        <v>37.5</v>
      </c>
    </row>
    <row r="11" spans="1:10" x14ac:dyDescent="0.2">
      <c r="A11">
        <v>801</v>
      </c>
      <c r="B11">
        <v>0</v>
      </c>
      <c r="C11">
        <v>1</v>
      </c>
      <c r="D11" s="3">
        <v>0.42499999999999999</v>
      </c>
      <c r="E11" s="1">
        <v>2.5374310000000001E-2</v>
      </c>
      <c r="F11">
        <v>0</v>
      </c>
      <c r="G11">
        <v>1</v>
      </c>
      <c r="H11">
        <v>0</v>
      </c>
      <c r="I11">
        <v>0</v>
      </c>
      <c r="J11" s="2">
        <f t="shared" si="0"/>
        <v>42.5</v>
      </c>
    </row>
    <row r="12" spans="1:10" x14ac:dyDescent="0.2">
      <c r="A12">
        <v>802</v>
      </c>
      <c r="B12">
        <v>1</v>
      </c>
      <c r="C12">
        <v>0</v>
      </c>
      <c r="D12" s="3">
        <v>0.38750000000000001</v>
      </c>
      <c r="E12" s="1">
        <v>5.1236588E-2</v>
      </c>
      <c r="F12">
        <v>0</v>
      </c>
      <c r="G12">
        <v>1</v>
      </c>
      <c r="H12">
        <v>0</v>
      </c>
      <c r="I12">
        <v>2</v>
      </c>
      <c r="J12" s="2">
        <f t="shared" si="0"/>
        <v>38.75</v>
      </c>
    </row>
    <row r="13" spans="1:10" x14ac:dyDescent="0.2">
      <c r="A13">
        <v>803</v>
      </c>
      <c r="B13">
        <v>1</v>
      </c>
      <c r="C13">
        <v>1</v>
      </c>
      <c r="D13" s="3">
        <v>0.13750000000000001</v>
      </c>
      <c r="E13" s="1">
        <v>0.234224401</v>
      </c>
      <c r="F13">
        <v>1</v>
      </c>
      <c r="G13">
        <v>0</v>
      </c>
      <c r="H13">
        <v>0</v>
      </c>
      <c r="I13">
        <v>3</v>
      </c>
      <c r="J13" s="2">
        <f t="shared" si="0"/>
        <v>13.750000000000002</v>
      </c>
    </row>
    <row r="14" spans="1:10" x14ac:dyDescent="0.2">
      <c r="A14">
        <v>804</v>
      </c>
      <c r="B14">
        <v>1</v>
      </c>
      <c r="C14">
        <v>1</v>
      </c>
      <c r="D14" s="3">
        <v>5.2500000000000003E-3</v>
      </c>
      <c r="E14" s="1">
        <v>1.6623491000000001E-2</v>
      </c>
      <c r="F14">
        <v>0</v>
      </c>
      <c r="G14">
        <v>0</v>
      </c>
      <c r="H14">
        <v>1</v>
      </c>
      <c r="I14">
        <v>1</v>
      </c>
      <c r="J14" s="2">
        <f t="shared" si="0"/>
        <v>0.52500000000000002</v>
      </c>
    </row>
    <row r="15" spans="1:10" x14ac:dyDescent="0.2">
      <c r="A15">
        <v>805</v>
      </c>
      <c r="B15">
        <v>1</v>
      </c>
      <c r="C15">
        <v>1</v>
      </c>
      <c r="D15" s="3">
        <v>0.33750000000000002</v>
      </c>
      <c r="E15" s="1">
        <v>1.3614293E-2</v>
      </c>
      <c r="F15">
        <v>0</v>
      </c>
      <c r="G15">
        <v>0</v>
      </c>
      <c r="H15">
        <v>1</v>
      </c>
      <c r="I15">
        <v>0</v>
      </c>
      <c r="J15" s="2">
        <f t="shared" si="0"/>
        <v>33.75</v>
      </c>
    </row>
    <row r="16" spans="1:10" x14ac:dyDescent="0.2">
      <c r="A16">
        <v>806</v>
      </c>
      <c r="B16">
        <v>0</v>
      </c>
      <c r="C16">
        <v>1</v>
      </c>
      <c r="D16" s="3">
        <v>0.38750000000000001</v>
      </c>
      <c r="E16" s="1">
        <v>1.5175789E-2</v>
      </c>
      <c r="F16">
        <v>0</v>
      </c>
      <c r="G16">
        <v>0</v>
      </c>
      <c r="H16">
        <v>1</v>
      </c>
      <c r="I16">
        <v>0</v>
      </c>
      <c r="J16" s="2">
        <f t="shared" si="0"/>
        <v>38.75</v>
      </c>
    </row>
    <row r="17" spans="1:10" x14ac:dyDescent="0.2">
      <c r="A17">
        <v>807</v>
      </c>
      <c r="B17">
        <v>0</v>
      </c>
      <c r="C17">
        <v>1</v>
      </c>
      <c r="D17" s="3">
        <v>0.48749999999999999</v>
      </c>
      <c r="E17" s="1">
        <v>0</v>
      </c>
      <c r="F17">
        <v>1</v>
      </c>
      <c r="G17">
        <v>0</v>
      </c>
      <c r="H17">
        <v>0</v>
      </c>
      <c r="I17">
        <v>0</v>
      </c>
      <c r="J17" s="2">
        <f t="shared" si="0"/>
        <v>48.75</v>
      </c>
    </row>
    <row r="18" spans="1:10" x14ac:dyDescent="0.2">
      <c r="A18">
        <v>808</v>
      </c>
      <c r="B18">
        <v>0</v>
      </c>
      <c r="C18">
        <v>0</v>
      </c>
      <c r="D18" s="3">
        <v>0.22500000000000001</v>
      </c>
      <c r="E18" s="1">
        <v>1.5175789E-2</v>
      </c>
      <c r="F18">
        <v>0</v>
      </c>
      <c r="G18">
        <v>0</v>
      </c>
      <c r="H18">
        <v>1</v>
      </c>
      <c r="I18">
        <v>0</v>
      </c>
      <c r="J18" s="2">
        <f t="shared" si="0"/>
        <v>22.5</v>
      </c>
    </row>
    <row r="19" spans="1:10" x14ac:dyDescent="0.2">
      <c r="A19">
        <v>809</v>
      </c>
      <c r="B19">
        <v>0</v>
      </c>
      <c r="C19">
        <v>1</v>
      </c>
      <c r="D19" s="3">
        <v>0.48749999999999999</v>
      </c>
      <c r="E19" s="1">
        <v>2.5374310000000001E-2</v>
      </c>
      <c r="F19">
        <v>0</v>
      </c>
      <c r="G19">
        <v>1</v>
      </c>
      <c r="H19">
        <v>0</v>
      </c>
      <c r="I19">
        <v>0</v>
      </c>
      <c r="J19" s="2">
        <f t="shared" si="0"/>
        <v>48.75</v>
      </c>
    </row>
    <row r="20" spans="1:10" x14ac:dyDescent="0.2">
      <c r="A20">
        <v>810</v>
      </c>
      <c r="B20">
        <v>1</v>
      </c>
      <c r="C20">
        <v>0</v>
      </c>
      <c r="D20" s="3">
        <v>0.41249999999999998</v>
      </c>
      <c r="E20" s="1">
        <v>0.103644297</v>
      </c>
      <c r="F20">
        <v>1</v>
      </c>
      <c r="G20">
        <v>0</v>
      </c>
      <c r="H20">
        <v>0</v>
      </c>
      <c r="I20">
        <v>1</v>
      </c>
      <c r="J20" s="2">
        <f t="shared" si="0"/>
        <v>41.25</v>
      </c>
    </row>
    <row r="21" spans="1:10" x14ac:dyDescent="0.2">
      <c r="A21">
        <v>811</v>
      </c>
      <c r="B21">
        <v>0</v>
      </c>
      <c r="C21">
        <v>1</v>
      </c>
      <c r="D21" s="3">
        <v>0.32500000000000001</v>
      </c>
      <c r="E21" s="1">
        <v>1.5395374999999999E-2</v>
      </c>
      <c r="F21">
        <v>0</v>
      </c>
      <c r="G21">
        <v>0</v>
      </c>
      <c r="H21">
        <v>1</v>
      </c>
      <c r="I21">
        <v>0</v>
      </c>
      <c r="J21" s="2">
        <f t="shared" si="0"/>
        <v>32.5</v>
      </c>
    </row>
    <row r="22" spans="1:10" x14ac:dyDescent="0.2">
      <c r="A22">
        <v>812</v>
      </c>
      <c r="B22">
        <v>0</v>
      </c>
      <c r="C22">
        <v>1</v>
      </c>
      <c r="D22" s="3">
        <v>0.48749999999999999</v>
      </c>
      <c r="E22" s="1">
        <v>4.7137660999999997E-2</v>
      </c>
      <c r="F22">
        <v>0</v>
      </c>
      <c r="G22">
        <v>0</v>
      </c>
      <c r="H22">
        <v>1</v>
      </c>
      <c r="I22">
        <v>0</v>
      </c>
      <c r="J22" s="2">
        <f t="shared" si="0"/>
        <v>48.75</v>
      </c>
    </row>
    <row r="23" spans="1:10" x14ac:dyDescent="0.2">
      <c r="A23">
        <v>813</v>
      </c>
      <c r="B23">
        <v>0</v>
      </c>
      <c r="C23">
        <v>1</v>
      </c>
      <c r="D23" s="3">
        <v>0.4375</v>
      </c>
      <c r="E23" s="1">
        <v>2.0494635000000001E-2</v>
      </c>
      <c r="F23">
        <v>0</v>
      </c>
      <c r="G23">
        <v>1</v>
      </c>
      <c r="H23">
        <v>0</v>
      </c>
      <c r="I23">
        <v>0</v>
      </c>
      <c r="J23" s="2">
        <f t="shared" si="0"/>
        <v>43.75</v>
      </c>
    </row>
    <row r="24" spans="1:10" x14ac:dyDescent="0.2">
      <c r="A24">
        <v>814</v>
      </c>
      <c r="B24">
        <v>0</v>
      </c>
      <c r="C24">
        <v>0</v>
      </c>
      <c r="D24" s="3">
        <v>7.4999999999999997E-2</v>
      </c>
      <c r="E24" s="1">
        <v>6.1044735000000003E-2</v>
      </c>
      <c r="F24">
        <v>0</v>
      </c>
      <c r="G24">
        <v>0</v>
      </c>
      <c r="H24">
        <v>1</v>
      </c>
      <c r="I24">
        <v>6</v>
      </c>
      <c r="J24" s="2">
        <f t="shared" si="0"/>
        <v>7.5</v>
      </c>
    </row>
    <row r="25" spans="1:10" x14ac:dyDescent="0.2">
      <c r="A25">
        <v>815</v>
      </c>
      <c r="B25">
        <v>0</v>
      </c>
      <c r="C25">
        <v>1</v>
      </c>
      <c r="D25" s="3">
        <v>0.38124999999999998</v>
      </c>
      <c r="E25" s="1">
        <v>1.5712554E-2</v>
      </c>
      <c r="F25">
        <v>0</v>
      </c>
      <c r="G25">
        <v>0</v>
      </c>
      <c r="H25">
        <v>1</v>
      </c>
      <c r="I25">
        <v>0</v>
      </c>
      <c r="J25" s="2">
        <f t="shared" si="0"/>
        <v>38.125</v>
      </c>
    </row>
    <row r="26" spans="1:10" x14ac:dyDescent="0.2">
      <c r="A26">
        <v>816</v>
      </c>
      <c r="B26">
        <v>0</v>
      </c>
      <c r="C26">
        <v>1</v>
      </c>
      <c r="D26" s="3">
        <v>0.35</v>
      </c>
      <c r="E26" s="1">
        <v>0</v>
      </c>
      <c r="F26">
        <v>1</v>
      </c>
      <c r="G26">
        <v>0</v>
      </c>
      <c r="H26">
        <v>0</v>
      </c>
      <c r="I26">
        <v>0</v>
      </c>
      <c r="J26" s="2">
        <f t="shared" si="0"/>
        <v>35</v>
      </c>
    </row>
    <row r="27" spans="1:10" x14ac:dyDescent="0.2">
      <c r="A27">
        <v>817</v>
      </c>
      <c r="B27">
        <v>0</v>
      </c>
      <c r="C27">
        <v>0</v>
      </c>
      <c r="D27" s="3">
        <v>0.28749999999999998</v>
      </c>
      <c r="E27" s="1">
        <v>1.5468569999999999E-2</v>
      </c>
      <c r="F27">
        <v>0</v>
      </c>
      <c r="G27">
        <v>0</v>
      </c>
      <c r="H27">
        <v>1</v>
      </c>
      <c r="I27">
        <v>0</v>
      </c>
      <c r="J27" s="2">
        <f t="shared" si="0"/>
        <v>28.749999999999996</v>
      </c>
    </row>
    <row r="28" spans="1:10" x14ac:dyDescent="0.2">
      <c r="A28">
        <v>818</v>
      </c>
      <c r="B28">
        <v>0</v>
      </c>
      <c r="C28">
        <v>1</v>
      </c>
      <c r="D28" s="3">
        <v>0.38750000000000001</v>
      </c>
      <c r="E28" s="1">
        <v>7.2227388000000003E-2</v>
      </c>
      <c r="F28">
        <v>0</v>
      </c>
      <c r="G28">
        <v>1</v>
      </c>
      <c r="H28">
        <v>0</v>
      </c>
      <c r="I28">
        <v>2</v>
      </c>
      <c r="J28" s="2">
        <f t="shared" si="0"/>
        <v>38.75</v>
      </c>
    </row>
    <row r="29" spans="1:10" x14ac:dyDescent="0.2">
      <c r="A29">
        <v>819</v>
      </c>
      <c r="B29">
        <v>0</v>
      </c>
      <c r="C29">
        <v>1</v>
      </c>
      <c r="D29" s="3">
        <v>0.53749999999999998</v>
      </c>
      <c r="E29" s="1">
        <v>1.2589562E-2</v>
      </c>
      <c r="F29">
        <v>0</v>
      </c>
      <c r="G29">
        <v>0</v>
      </c>
      <c r="H29">
        <v>1</v>
      </c>
      <c r="I29">
        <v>0</v>
      </c>
      <c r="J29" s="2">
        <f t="shared" si="0"/>
        <v>53.75</v>
      </c>
    </row>
    <row r="30" spans="1:10" x14ac:dyDescent="0.2">
      <c r="A30">
        <v>820</v>
      </c>
      <c r="B30">
        <v>0</v>
      </c>
      <c r="C30">
        <v>1</v>
      </c>
      <c r="D30" s="3">
        <v>0.125</v>
      </c>
      <c r="E30" s="1">
        <v>5.4457172999999998E-2</v>
      </c>
      <c r="F30">
        <v>0</v>
      </c>
      <c r="G30">
        <v>0</v>
      </c>
      <c r="H30">
        <v>1</v>
      </c>
      <c r="I30">
        <v>5</v>
      </c>
      <c r="J30" s="2">
        <f t="shared" si="0"/>
        <v>12.5</v>
      </c>
    </row>
    <row r="31" spans="1:10" x14ac:dyDescent="0.2">
      <c r="A31">
        <v>821</v>
      </c>
      <c r="B31">
        <v>1</v>
      </c>
      <c r="C31">
        <v>0</v>
      </c>
      <c r="D31" s="3">
        <v>0.65</v>
      </c>
      <c r="E31" s="1">
        <v>0.18249984599999999</v>
      </c>
      <c r="F31">
        <v>1</v>
      </c>
      <c r="G31">
        <v>0</v>
      </c>
      <c r="H31">
        <v>0</v>
      </c>
      <c r="I31">
        <v>2</v>
      </c>
      <c r="J31" s="2">
        <f t="shared" si="0"/>
        <v>65</v>
      </c>
    </row>
    <row r="32" spans="1:10" x14ac:dyDescent="0.2">
      <c r="A32">
        <v>822</v>
      </c>
      <c r="B32">
        <v>1</v>
      </c>
      <c r="C32">
        <v>1</v>
      </c>
      <c r="D32" s="3">
        <v>0.33750000000000002</v>
      </c>
      <c r="E32" s="1">
        <v>1.6908073999999999E-2</v>
      </c>
      <c r="F32">
        <v>0</v>
      </c>
      <c r="G32">
        <v>0</v>
      </c>
      <c r="H32">
        <v>1</v>
      </c>
      <c r="I32">
        <v>0</v>
      </c>
      <c r="J32" s="2">
        <f t="shared" si="0"/>
        <v>33.75</v>
      </c>
    </row>
    <row r="33" spans="1:10" x14ac:dyDescent="0.2">
      <c r="A33">
        <v>823</v>
      </c>
      <c r="B33">
        <v>0</v>
      </c>
      <c r="C33">
        <v>1</v>
      </c>
      <c r="D33" s="3">
        <v>0.47499999999999998</v>
      </c>
      <c r="E33" s="1">
        <v>0</v>
      </c>
      <c r="F33">
        <v>1</v>
      </c>
      <c r="G33">
        <v>0</v>
      </c>
      <c r="H33">
        <v>0</v>
      </c>
      <c r="I33">
        <v>0</v>
      </c>
      <c r="J33" s="2">
        <f t="shared" si="0"/>
        <v>47.5</v>
      </c>
    </row>
    <row r="34" spans="1:10" x14ac:dyDescent="0.2">
      <c r="A34">
        <v>824</v>
      </c>
      <c r="B34">
        <v>1</v>
      </c>
      <c r="C34">
        <v>0</v>
      </c>
      <c r="D34" s="3">
        <v>0.33750000000000002</v>
      </c>
      <c r="E34" s="1">
        <v>2.4349578E-2</v>
      </c>
      <c r="F34">
        <v>0</v>
      </c>
      <c r="G34">
        <v>0</v>
      </c>
      <c r="H34">
        <v>1</v>
      </c>
      <c r="I34">
        <v>1</v>
      </c>
      <c r="J34" s="2">
        <f t="shared" si="0"/>
        <v>33.75</v>
      </c>
    </row>
    <row r="35" spans="1:10" x14ac:dyDescent="0.2">
      <c r="A35">
        <v>825</v>
      </c>
      <c r="B35">
        <v>0</v>
      </c>
      <c r="C35">
        <v>1</v>
      </c>
      <c r="D35" s="3">
        <v>2.5000000000000001E-2</v>
      </c>
      <c r="E35" s="1">
        <v>7.7464841000000006E-2</v>
      </c>
      <c r="F35">
        <v>0</v>
      </c>
      <c r="G35">
        <v>0</v>
      </c>
      <c r="H35">
        <v>1</v>
      </c>
      <c r="I35">
        <v>5</v>
      </c>
      <c r="J35" s="2">
        <f t="shared" si="0"/>
        <v>2.5</v>
      </c>
    </row>
    <row r="36" spans="1:10" x14ac:dyDescent="0.2">
      <c r="A36">
        <v>826</v>
      </c>
      <c r="B36">
        <v>0</v>
      </c>
      <c r="C36">
        <v>1</v>
      </c>
      <c r="D36" s="3">
        <v>0.35</v>
      </c>
      <c r="E36" s="1">
        <v>1.3565496999999999E-2</v>
      </c>
      <c r="F36">
        <v>0</v>
      </c>
      <c r="G36">
        <v>0</v>
      </c>
      <c r="H36">
        <v>1</v>
      </c>
      <c r="I36">
        <v>0</v>
      </c>
      <c r="J36" s="2">
        <f t="shared" si="0"/>
        <v>35</v>
      </c>
    </row>
    <row r="37" spans="1:10" x14ac:dyDescent="0.2">
      <c r="A37">
        <v>827</v>
      </c>
      <c r="B37">
        <v>0</v>
      </c>
      <c r="C37">
        <v>1</v>
      </c>
      <c r="D37" s="3">
        <v>0.35</v>
      </c>
      <c r="E37" s="1">
        <v>0.110272458</v>
      </c>
      <c r="F37">
        <v>0</v>
      </c>
      <c r="G37">
        <v>0</v>
      </c>
      <c r="H37">
        <v>1</v>
      </c>
      <c r="I37">
        <v>0</v>
      </c>
      <c r="J37" s="2">
        <f t="shared" si="0"/>
        <v>35</v>
      </c>
    </row>
    <row r="38" spans="1:10" x14ac:dyDescent="0.2">
      <c r="A38">
        <v>828</v>
      </c>
      <c r="B38">
        <v>1</v>
      </c>
      <c r="C38">
        <v>1</v>
      </c>
      <c r="D38" s="3">
        <v>1.2500000000000001E-2</v>
      </c>
      <c r="E38" s="1">
        <v>7.2227388000000003E-2</v>
      </c>
      <c r="F38">
        <v>0</v>
      </c>
      <c r="G38">
        <v>1</v>
      </c>
      <c r="H38">
        <v>0</v>
      </c>
      <c r="I38">
        <v>2</v>
      </c>
      <c r="J38" s="2">
        <f t="shared" si="0"/>
        <v>1.25</v>
      </c>
    </row>
    <row r="39" spans="1:10" x14ac:dyDescent="0.2">
      <c r="A39">
        <v>829</v>
      </c>
      <c r="B39">
        <v>1</v>
      </c>
      <c r="C39">
        <v>1</v>
      </c>
      <c r="D39" s="3">
        <v>0.35</v>
      </c>
      <c r="E39" s="1">
        <v>1.5126993E-2</v>
      </c>
      <c r="F39">
        <v>0</v>
      </c>
      <c r="G39">
        <v>0</v>
      </c>
      <c r="H39">
        <v>1</v>
      </c>
      <c r="I39">
        <v>0</v>
      </c>
      <c r="J39" s="2">
        <f t="shared" si="0"/>
        <v>35</v>
      </c>
    </row>
    <row r="40" spans="1:10" x14ac:dyDescent="0.2">
      <c r="A40">
        <v>830</v>
      </c>
      <c r="B40">
        <v>1</v>
      </c>
      <c r="C40">
        <v>0</v>
      </c>
      <c r="D40" s="3">
        <v>0.77500000000000002</v>
      </c>
      <c r="E40" s="1">
        <v>0.156149601</v>
      </c>
      <c r="F40">
        <v>1</v>
      </c>
      <c r="G40">
        <v>0</v>
      </c>
      <c r="H40">
        <v>0</v>
      </c>
      <c r="I40">
        <v>0</v>
      </c>
      <c r="J40" s="2">
        <f t="shared" si="0"/>
        <v>77.5</v>
      </c>
    </row>
    <row r="41" spans="1:10" x14ac:dyDescent="0.2">
      <c r="A41">
        <v>831</v>
      </c>
      <c r="B41">
        <v>1</v>
      </c>
      <c r="C41">
        <v>0</v>
      </c>
      <c r="D41" s="3">
        <v>0.1875</v>
      </c>
      <c r="E41" s="1">
        <v>2.8212719000000001E-2</v>
      </c>
      <c r="F41">
        <v>0</v>
      </c>
      <c r="G41">
        <v>0</v>
      </c>
      <c r="H41">
        <v>1</v>
      </c>
      <c r="I41">
        <v>1</v>
      </c>
      <c r="J41" s="2">
        <f t="shared" si="0"/>
        <v>18.75</v>
      </c>
    </row>
    <row r="42" spans="1:10" x14ac:dyDescent="0.2">
      <c r="A42">
        <v>832</v>
      </c>
      <c r="B42">
        <v>1</v>
      </c>
      <c r="C42">
        <v>1</v>
      </c>
      <c r="D42" s="3">
        <v>1.0375000000000001E-2</v>
      </c>
      <c r="E42" s="1">
        <v>3.6597563E-2</v>
      </c>
      <c r="F42">
        <v>0</v>
      </c>
      <c r="G42">
        <v>1</v>
      </c>
      <c r="H42">
        <v>0</v>
      </c>
      <c r="I42">
        <v>2</v>
      </c>
      <c r="J42" s="2">
        <f t="shared" si="0"/>
        <v>1.0375000000000001</v>
      </c>
    </row>
    <row r="43" spans="1:10" x14ac:dyDescent="0.2">
      <c r="A43">
        <v>833</v>
      </c>
      <c r="B43">
        <v>0</v>
      </c>
      <c r="C43">
        <v>1</v>
      </c>
      <c r="D43" s="3">
        <v>0.35</v>
      </c>
      <c r="E43" s="1">
        <v>1.4110459000000001E-2</v>
      </c>
      <c r="F43">
        <v>0</v>
      </c>
      <c r="G43">
        <v>0</v>
      </c>
      <c r="H43">
        <v>1</v>
      </c>
      <c r="I43">
        <v>0</v>
      </c>
      <c r="J43" s="2">
        <f t="shared" si="0"/>
        <v>35</v>
      </c>
    </row>
    <row r="44" spans="1:10" x14ac:dyDescent="0.2">
      <c r="A44">
        <v>834</v>
      </c>
      <c r="B44">
        <v>0</v>
      </c>
      <c r="C44">
        <v>1</v>
      </c>
      <c r="D44" s="3">
        <v>0.28749999999999998</v>
      </c>
      <c r="E44" s="1">
        <v>1.5330376999999999E-2</v>
      </c>
      <c r="F44">
        <v>0</v>
      </c>
      <c r="G44">
        <v>0</v>
      </c>
      <c r="H44">
        <v>1</v>
      </c>
      <c r="I44">
        <v>0</v>
      </c>
      <c r="J44" s="2">
        <f t="shared" si="0"/>
        <v>28.749999999999996</v>
      </c>
    </row>
    <row r="45" spans="1:10" x14ac:dyDescent="0.2">
      <c r="A45">
        <v>835</v>
      </c>
      <c r="B45">
        <v>0</v>
      </c>
      <c r="C45">
        <v>1</v>
      </c>
      <c r="D45" s="3">
        <v>0.22500000000000001</v>
      </c>
      <c r="E45" s="1">
        <v>1.6200520999999999E-2</v>
      </c>
      <c r="F45">
        <v>0</v>
      </c>
      <c r="G45">
        <v>0</v>
      </c>
      <c r="H45">
        <v>1</v>
      </c>
      <c r="I45">
        <v>0</v>
      </c>
      <c r="J45" s="2">
        <f t="shared" si="0"/>
        <v>22.5</v>
      </c>
    </row>
    <row r="46" spans="1:10" x14ac:dyDescent="0.2">
      <c r="A46">
        <v>836</v>
      </c>
      <c r="B46">
        <v>1</v>
      </c>
      <c r="C46">
        <v>0</v>
      </c>
      <c r="D46" s="3">
        <v>0.48749999999999999</v>
      </c>
      <c r="E46" s="1">
        <v>0.162314192</v>
      </c>
      <c r="F46">
        <v>1</v>
      </c>
      <c r="G46">
        <v>0</v>
      </c>
      <c r="H46">
        <v>0</v>
      </c>
      <c r="I46">
        <v>2</v>
      </c>
      <c r="J46" s="2">
        <f t="shared" si="0"/>
        <v>48.75</v>
      </c>
    </row>
    <row r="47" spans="1:10" x14ac:dyDescent="0.2">
      <c r="A47">
        <v>837</v>
      </c>
      <c r="B47">
        <v>0</v>
      </c>
      <c r="C47">
        <v>1</v>
      </c>
      <c r="D47" s="3">
        <v>0.26250000000000001</v>
      </c>
      <c r="E47" s="1">
        <v>1.6908073999999999E-2</v>
      </c>
      <c r="F47">
        <v>0</v>
      </c>
      <c r="G47">
        <v>0</v>
      </c>
      <c r="H47">
        <v>1</v>
      </c>
      <c r="I47">
        <v>0</v>
      </c>
      <c r="J47" s="2">
        <f t="shared" si="0"/>
        <v>26.25</v>
      </c>
    </row>
    <row r="48" spans="1:10" x14ac:dyDescent="0.2">
      <c r="A48">
        <v>838</v>
      </c>
      <c r="B48">
        <v>0</v>
      </c>
      <c r="C48">
        <v>1</v>
      </c>
      <c r="D48" s="3">
        <v>0.35</v>
      </c>
      <c r="E48" s="1">
        <v>1.5712554E-2</v>
      </c>
      <c r="F48">
        <v>0</v>
      </c>
      <c r="G48">
        <v>0</v>
      </c>
      <c r="H48">
        <v>1</v>
      </c>
      <c r="I48">
        <v>0</v>
      </c>
      <c r="J48" s="2">
        <f t="shared" si="0"/>
        <v>35</v>
      </c>
    </row>
    <row r="49" spans="1:10" x14ac:dyDescent="0.2">
      <c r="A49">
        <v>839</v>
      </c>
      <c r="B49">
        <v>1</v>
      </c>
      <c r="C49">
        <v>1</v>
      </c>
      <c r="D49" s="3">
        <v>0.4</v>
      </c>
      <c r="E49" s="1">
        <v>0.110272458</v>
      </c>
      <c r="F49">
        <v>0</v>
      </c>
      <c r="G49">
        <v>0</v>
      </c>
      <c r="H49">
        <v>1</v>
      </c>
      <c r="I49">
        <v>0</v>
      </c>
      <c r="J49" s="2">
        <f t="shared" si="0"/>
        <v>40</v>
      </c>
    </row>
    <row r="50" spans="1:10" x14ac:dyDescent="0.2">
      <c r="A50">
        <v>840</v>
      </c>
      <c r="B50">
        <v>1</v>
      </c>
      <c r="C50">
        <v>1</v>
      </c>
      <c r="D50" s="3">
        <v>0.35</v>
      </c>
      <c r="E50" s="1">
        <v>5.7970539000000001E-2</v>
      </c>
      <c r="F50">
        <v>1</v>
      </c>
      <c r="G50">
        <v>0</v>
      </c>
      <c r="H50">
        <v>0</v>
      </c>
      <c r="I50">
        <v>0</v>
      </c>
      <c r="J50" s="2">
        <f t="shared" si="0"/>
        <v>35</v>
      </c>
    </row>
    <row r="51" spans="1:10" x14ac:dyDescent="0.2">
      <c r="A51">
        <v>841</v>
      </c>
      <c r="B51">
        <v>0</v>
      </c>
      <c r="C51">
        <v>1</v>
      </c>
      <c r="D51" s="3">
        <v>0.25</v>
      </c>
      <c r="E51" s="1">
        <v>1.5468569999999999E-2</v>
      </c>
      <c r="F51">
        <v>0</v>
      </c>
      <c r="G51">
        <v>0</v>
      </c>
      <c r="H51">
        <v>1</v>
      </c>
      <c r="I51">
        <v>0</v>
      </c>
      <c r="J51" s="2">
        <f t="shared" si="0"/>
        <v>25</v>
      </c>
    </row>
    <row r="52" spans="1:10" x14ac:dyDescent="0.2">
      <c r="A52">
        <v>842</v>
      </c>
      <c r="B52">
        <v>0</v>
      </c>
      <c r="C52">
        <v>1</v>
      </c>
      <c r="D52" s="3">
        <v>0.2</v>
      </c>
      <c r="E52" s="1">
        <v>2.0494635000000001E-2</v>
      </c>
      <c r="F52">
        <v>0</v>
      </c>
      <c r="G52">
        <v>1</v>
      </c>
      <c r="H52">
        <v>0</v>
      </c>
      <c r="I52">
        <v>0</v>
      </c>
      <c r="J52" s="2">
        <f t="shared" si="0"/>
        <v>20</v>
      </c>
    </row>
    <row r="53" spans="1:10" x14ac:dyDescent="0.2">
      <c r="A53">
        <v>843</v>
      </c>
      <c r="B53">
        <v>1</v>
      </c>
      <c r="C53">
        <v>0</v>
      </c>
      <c r="D53" s="3">
        <v>0.375</v>
      </c>
      <c r="E53" s="1">
        <v>6.0507970000000001E-2</v>
      </c>
      <c r="F53">
        <v>1</v>
      </c>
      <c r="G53">
        <v>0</v>
      </c>
      <c r="H53">
        <v>0</v>
      </c>
      <c r="I53">
        <v>0</v>
      </c>
      <c r="J53" s="2">
        <f t="shared" si="0"/>
        <v>37.5</v>
      </c>
    </row>
    <row r="54" spans="1:10" x14ac:dyDescent="0.2">
      <c r="A54">
        <v>844</v>
      </c>
      <c r="B54">
        <v>0</v>
      </c>
      <c r="C54">
        <v>1</v>
      </c>
      <c r="D54" s="3">
        <v>0.43125000000000002</v>
      </c>
      <c r="E54" s="1">
        <v>1.2565163000000001E-2</v>
      </c>
      <c r="F54">
        <v>0</v>
      </c>
      <c r="G54">
        <v>0</v>
      </c>
      <c r="H54">
        <v>1</v>
      </c>
      <c r="I54">
        <v>0</v>
      </c>
      <c r="J54" s="2">
        <f t="shared" si="0"/>
        <v>43.125</v>
      </c>
    </row>
    <row r="55" spans="1:10" x14ac:dyDescent="0.2">
      <c r="A55">
        <v>845</v>
      </c>
      <c r="B55">
        <v>0</v>
      </c>
      <c r="C55">
        <v>1</v>
      </c>
      <c r="D55" s="3">
        <v>0.21249999999999999</v>
      </c>
      <c r="E55" s="1">
        <v>1.6908073999999999E-2</v>
      </c>
      <c r="F55">
        <v>0</v>
      </c>
      <c r="G55">
        <v>0</v>
      </c>
      <c r="H55">
        <v>1</v>
      </c>
      <c r="I55">
        <v>0</v>
      </c>
      <c r="J55" s="2">
        <f t="shared" si="0"/>
        <v>21.25</v>
      </c>
    </row>
    <row r="56" spans="1:10" x14ac:dyDescent="0.2">
      <c r="A56">
        <v>846</v>
      </c>
      <c r="B56">
        <v>0</v>
      </c>
      <c r="C56">
        <v>1</v>
      </c>
      <c r="D56" s="3">
        <v>0.52500000000000002</v>
      </c>
      <c r="E56" s="1">
        <v>1.4736618999999999E-2</v>
      </c>
      <c r="F56">
        <v>0</v>
      </c>
      <c r="G56">
        <v>0</v>
      </c>
      <c r="H56">
        <v>1</v>
      </c>
      <c r="I56">
        <v>0</v>
      </c>
      <c r="J56" s="2">
        <f t="shared" si="0"/>
        <v>52.5</v>
      </c>
    </row>
    <row r="57" spans="1:10" x14ac:dyDescent="0.2">
      <c r="A57">
        <v>847</v>
      </c>
      <c r="B57">
        <v>0</v>
      </c>
      <c r="C57">
        <v>1</v>
      </c>
      <c r="D57" s="3">
        <v>0.35</v>
      </c>
      <c r="E57" s="1">
        <v>0.13575255899999999</v>
      </c>
      <c r="F57">
        <v>0</v>
      </c>
      <c r="G57">
        <v>0</v>
      </c>
      <c r="H57">
        <v>1</v>
      </c>
      <c r="I57">
        <v>1</v>
      </c>
      <c r="J57" s="2">
        <f t="shared" si="0"/>
        <v>35</v>
      </c>
    </row>
    <row r="58" spans="1:10" x14ac:dyDescent="0.2">
      <c r="A58">
        <v>848</v>
      </c>
      <c r="B58">
        <v>0</v>
      </c>
      <c r="C58">
        <v>1</v>
      </c>
      <c r="D58" s="3">
        <v>0.4375</v>
      </c>
      <c r="E58" s="1">
        <v>1.5411575E-2</v>
      </c>
      <c r="F58">
        <v>0</v>
      </c>
      <c r="G58">
        <v>0</v>
      </c>
      <c r="H58">
        <v>1</v>
      </c>
      <c r="I58">
        <v>0</v>
      </c>
      <c r="J58" s="2">
        <f t="shared" si="0"/>
        <v>43.75</v>
      </c>
    </row>
    <row r="59" spans="1:10" x14ac:dyDescent="0.2">
      <c r="A59">
        <v>849</v>
      </c>
      <c r="B59">
        <v>0</v>
      </c>
      <c r="C59">
        <v>1</v>
      </c>
      <c r="D59" s="3">
        <v>0.35</v>
      </c>
      <c r="E59" s="1">
        <v>6.4411709999999997E-2</v>
      </c>
      <c r="F59">
        <v>0</v>
      </c>
      <c r="G59">
        <v>1</v>
      </c>
      <c r="H59">
        <v>0</v>
      </c>
      <c r="I59">
        <v>1</v>
      </c>
      <c r="J59" s="2">
        <f t="shared" si="0"/>
        <v>35</v>
      </c>
    </row>
    <row r="60" spans="1:10" x14ac:dyDescent="0.2">
      <c r="A60">
        <v>850</v>
      </c>
      <c r="B60">
        <v>1</v>
      </c>
      <c r="C60">
        <v>0</v>
      </c>
      <c r="D60" s="3">
        <v>0.35</v>
      </c>
      <c r="E60" s="1">
        <v>0.173919816</v>
      </c>
      <c r="F60">
        <v>1</v>
      </c>
      <c r="G60">
        <v>0</v>
      </c>
      <c r="H60">
        <v>0</v>
      </c>
      <c r="I60">
        <v>1</v>
      </c>
      <c r="J60" s="2">
        <f t="shared" si="0"/>
        <v>35</v>
      </c>
    </row>
    <row r="61" spans="1:10" x14ac:dyDescent="0.2">
      <c r="A61">
        <v>851</v>
      </c>
      <c r="B61">
        <v>0</v>
      </c>
      <c r="C61">
        <v>1</v>
      </c>
      <c r="D61" s="3">
        <v>0.05</v>
      </c>
      <c r="E61" s="1">
        <v>6.1044735000000003E-2</v>
      </c>
      <c r="F61">
        <v>0</v>
      </c>
      <c r="G61">
        <v>0</v>
      </c>
      <c r="H61">
        <v>1</v>
      </c>
      <c r="I61">
        <v>6</v>
      </c>
      <c r="J61" s="2">
        <f t="shared" si="0"/>
        <v>5</v>
      </c>
    </row>
    <row r="62" spans="1:10" x14ac:dyDescent="0.2">
      <c r="A62">
        <v>852</v>
      </c>
      <c r="B62">
        <v>0</v>
      </c>
      <c r="C62">
        <v>1</v>
      </c>
      <c r="D62" s="3">
        <v>0.92500000000000004</v>
      </c>
      <c r="E62" s="1">
        <v>1.5175789E-2</v>
      </c>
      <c r="F62">
        <v>0</v>
      </c>
      <c r="G62">
        <v>0</v>
      </c>
      <c r="H62">
        <v>1</v>
      </c>
      <c r="I62">
        <v>0</v>
      </c>
      <c r="J62" s="2">
        <f t="shared" si="0"/>
        <v>92.5</v>
      </c>
    </row>
    <row r="63" spans="1:10" x14ac:dyDescent="0.2">
      <c r="A63">
        <v>853</v>
      </c>
      <c r="B63">
        <v>0</v>
      </c>
      <c r="C63">
        <v>0</v>
      </c>
      <c r="D63" s="3">
        <v>0.1125</v>
      </c>
      <c r="E63" s="1">
        <v>2.9757820000000001E-2</v>
      </c>
      <c r="F63">
        <v>0</v>
      </c>
      <c r="G63">
        <v>0</v>
      </c>
      <c r="H63">
        <v>1</v>
      </c>
      <c r="I63">
        <v>2</v>
      </c>
      <c r="J63" s="2">
        <f t="shared" si="0"/>
        <v>11.25</v>
      </c>
    </row>
    <row r="64" spans="1:10" x14ac:dyDescent="0.2">
      <c r="A64">
        <v>854</v>
      </c>
      <c r="B64">
        <v>1</v>
      </c>
      <c r="C64">
        <v>0</v>
      </c>
      <c r="D64" s="3">
        <v>0.2</v>
      </c>
      <c r="E64" s="1">
        <v>7.6903678000000003E-2</v>
      </c>
      <c r="F64">
        <v>1</v>
      </c>
      <c r="G64">
        <v>0</v>
      </c>
      <c r="H64">
        <v>0</v>
      </c>
      <c r="I64">
        <v>1</v>
      </c>
      <c r="J64" s="2">
        <f t="shared" si="0"/>
        <v>20</v>
      </c>
    </row>
    <row r="65" spans="1:10" x14ac:dyDescent="0.2">
      <c r="A65">
        <v>855</v>
      </c>
      <c r="B65">
        <v>0</v>
      </c>
      <c r="C65">
        <v>0</v>
      </c>
      <c r="D65" s="3">
        <v>0.55000000000000004</v>
      </c>
      <c r="E65" s="1">
        <v>5.0748620000000001E-2</v>
      </c>
      <c r="F65">
        <v>0</v>
      </c>
      <c r="G65">
        <v>1</v>
      </c>
      <c r="H65">
        <v>0</v>
      </c>
      <c r="I65">
        <v>1</v>
      </c>
      <c r="J65" s="2">
        <f t="shared" si="0"/>
        <v>55.000000000000007</v>
      </c>
    </row>
    <row r="66" spans="1:10" x14ac:dyDescent="0.2">
      <c r="A66">
        <v>856</v>
      </c>
      <c r="B66">
        <v>1</v>
      </c>
      <c r="C66">
        <v>0</v>
      </c>
      <c r="D66" s="3">
        <v>0.22500000000000001</v>
      </c>
      <c r="E66" s="1">
        <v>1.8249985E-2</v>
      </c>
      <c r="F66">
        <v>0</v>
      </c>
      <c r="G66">
        <v>0</v>
      </c>
      <c r="H66">
        <v>1</v>
      </c>
      <c r="I66">
        <v>1</v>
      </c>
      <c r="J66" s="2">
        <f t="shared" si="0"/>
        <v>22.5</v>
      </c>
    </row>
    <row r="67" spans="1:10" x14ac:dyDescent="0.2">
      <c r="A67">
        <v>857</v>
      </c>
      <c r="B67">
        <v>1</v>
      </c>
      <c r="C67">
        <v>0</v>
      </c>
      <c r="D67" s="3">
        <v>0.5625</v>
      </c>
      <c r="E67" s="1">
        <v>0.32179836699999997</v>
      </c>
      <c r="F67">
        <v>1</v>
      </c>
      <c r="G67">
        <v>0</v>
      </c>
      <c r="H67">
        <v>0</v>
      </c>
      <c r="I67">
        <v>2</v>
      </c>
      <c r="J67" s="2">
        <f t="shared" ref="J67:J101" si="1">D67*100</f>
        <v>56.25</v>
      </c>
    </row>
    <row r="68" spans="1:10" x14ac:dyDescent="0.2">
      <c r="A68">
        <v>858</v>
      </c>
      <c r="B68">
        <v>1</v>
      </c>
      <c r="C68">
        <v>1</v>
      </c>
      <c r="D68" s="3">
        <v>0.63749999999999996</v>
      </c>
      <c r="E68" s="1">
        <v>5.1822148999999998E-2</v>
      </c>
      <c r="F68">
        <v>1</v>
      </c>
      <c r="G68">
        <v>0</v>
      </c>
      <c r="H68">
        <v>0</v>
      </c>
      <c r="I68">
        <v>0</v>
      </c>
      <c r="J68" s="2">
        <f t="shared" si="1"/>
        <v>63.749999999999993</v>
      </c>
    </row>
    <row r="69" spans="1:10" x14ac:dyDescent="0.2">
      <c r="A69">
        <v>859</v>
      </c>
      <c r="B69">
        <v>1</v>
      </c>
      <c r="C69">
        <v>0</v>
      </c>
      <c r="D69" s="3">
        <v>0.3</v>
      </c>
      <c r="E69" s="1">
        <v>3.7589697999999998E-2</v>
      </c>
      <c r="F69">
        <v>0</v>
      </c>
      <c r="G69">
        <v>0</v>
      </c>
      <c r="H69">
        <v>1</v>
      </c>
      <c r="I69">
        <v>3</v>
      </c>
      <c r="J69" s="2">
        <f t="shared" si="1"/>
        <v>30</v>
      </c>
    </row>
    <row r="70" spans="1:10" x14ac:dyDescent="0.2">
      <c r="A70">
        <v>860</v>
      </c>
      <c r="B70">
        <v>0</v>
      </c>
      <c r="C70">
        <v>1</v>
      </c>
      <c r="D70" s="3">
        <v>0.35</v>
      </c>
      <c r="E70" s="1">
        <v>1.4110459000000001E-2</v>
      </c>
      <c r="F70">
        <v>0</v>
      </c>
      <c r="G70">
        <v>0</v>
      </c>
      <c r="H70">
        <v>1</v>
      </c>
      <c r="I70">
        <v>0</v>
      </c>
      <c r="J70" s="2">
        <f t="shared" si="1"/>
        <v>35</v>
      </c>
    </row>
    <row r="71" spans="1:10" x14ac:dyDescent="0.2">
      <c r="A71">
        <v>861</v>
      </c>
      <c r="B71">
        <v>0</v>
      </c>
      <c r="C71">
        <v>1</v>
      </c>
      <c r="D71" s="3">
        <v>0.51249999999999996</v>
      </c>
      <c r="E71" s="1">
        <v>2.7537567999999998E-2</v>
      </c>
      <c r="F71">
        <v>0</v>
      </c>
      <c r="G71">
        <v>0</v>
      </c>
      <c r="H71">
        <v>1</v>
      </c>
      <c r="I71">
        <v>2</v>
      </c>
      <c r="J71" s="2">
        <f t="shared" si="1"/>
        <v>51.249999999999993</v>
      </c>
    </row>
    <row r="72" spans="1:10" x14ac:dyDescent="0.2">
      <c r="A72">
        <v>862</v>
      </c>
      <c r="B72">
        <v>0</v>
      </c>
      <c r="C72">
        <v>1</v>
      </c>
      <c r="D72" s="3">
        <v>0.26250000000000001</v>
      </c>
      <c r="E72" s="1">
        <v>2.2446504999999999E-2</v>
      </c>
      <c r="F72">
        <v>0</v>
      </c>
      <c r="G72">
        <v>1</v>
      </c>
      <c r="H72">
        <v>0</v>
      </c>
      <c r="I72">
        <v>1</v>
      </c>
      <c r="J72" s="2">
        <f t="shared" si="1"/>
        <v>26.25</v>
      </c>
    </row>
    <row r="73" spans="1:10" x14ac:dyDescent="0.2">
      <c r="A73">
        <v>863</v>
      </c>
      <c r="B73">
        <v>1</v>
      </c>
      <c r="C73">
        <v>0</v>
      </c>
      <c r="D73" s="3">
        <v>0.6</v>
      </c>
      <c r="E73" s="1">
        <v>5.0610427999999999E-2</v>
      </c>
      <c r="F73">
        <v>1</v>
      </c>
      <c r="G73">
        <v>0</v>
      </c>
      <c r="H73">
        <v>0</v>
      </c>
      <c r="I73">
        <v>0</v>
      </c>
      <c r="J73" s="2">
        <f t="shared" si="1"/>
        <v>60</v>
      </c>
    </row>
    <row r="74" spans="1:10" x14ac:dyDescent="0.2">
      <c r="A74">
        <v>864</v>
      </c>
      <c r="B74">
        <v>0</v>
      </c>
      <c r="C74">
        <v>0</v>
      </c>
      <c r="D74" s="3">
        <v>0.35</v>
      </c>
      <c r="E74" s="1">
        <v>0.13575255899999999</v>
      </c>
      <c r="F74">
        <v>0</v>
      </c>
      <c r="G74">
        <v>0</v>
      </c>
      <c r="H74">
        <v>1</v>
      </c>
      <c r="I74">
        <v>1</v>
      </c>
      <c r="J74" s="2">
        <f t="shared" si="1"/>
        <v>35</v>
      </c>
    </row>
    <row r="75" spans="1:10" x14ac:dyDescent="0.2">
      <c r="A75">
        <v>865</v>
      </c>
      <c r="B75">
        <v>0</v>
      </c>
      <c r="C75">
        <v>1</v>
      </c>
      <c r="D75" s="3">
        <v>0.3</v>
      </c>
      <c r="E75" s="1">
        <v>2.5374310000000001E-2</v>
      </c>
      <c r="F75">
        <v>0</v>
      </c>
      <c r="G75">
        <v>1</v>
      </c>
      <c r="H75">
        <v>0</v>
      </c>
      <c r="I75">
        <v>0</v>
      </c>
      <c r="J75" s="2">
        <f t="shared" si="1"/>
        <v>30</v>
      </c>
    </row>
    <row r="76" spans="1:10" x14ac:dyDescent="0.2">
      <c r="A76">
        <v>866</v>
      </c>
      <c r="B76">
        <v>1</v>
      </c>
      <c r="C76">
        <v>0</v>
      </c>
      <c r="D76" s="3">
        <v>0.52500000000000002</v>
      </c>
      <c r="E76" s="1">
        <v>2.5374310000000001E-2</v>
      </c>
      <c r="F76">
        <v>0</v>
      </c>
      <c r="G76">
        <v>1</v>
      </c>
      <c r="H76">
        <v>0</v>
      </c>
      <c r="I76">
        <v>0</v>
      </c>
      <c r="J76" s="2">
        <f t="shared" si="1"/>
        <v>52.5</v>
      </c>
    </row>
    <row r="77" spans="1:10" x14ac:dyDescent="0.2">
      <c r="A77">
        <v>867</v>
      </c>
      <c r="B77">
        <v>1</v>
      </c>
      <c r="C77">
        <v>0</v>
      </c>
      <c r="D77" s="3">
        <v>0.33750000000000002</v>
      </c>
      <c r="E77" s="1">
        <v>2.70496E-2</v>
      </c>
      <c r="F77">
        <v>0</v>
      </c>
      <c r="G77">
        <v>1</v>
      </c>
      <c r="H77">
        <v>0</v>
      </c>
      <c r="I77">
        <v>1</v>
      </c>
      <c r="J77" s="2">
        <f t="shared" si="1"/>
        <v>33.75</v>
      </c>
    </row>
    <row r="78" spans="1:10" x14ac:dyDescent="0.2">
      <c r="A78">
        <v>868</v>
      </c>
      <c r="B78">
        <v>0</v>
      </c>
      <c r="C78">
        <v>1</v>
      </c>
      <c r="D78" s="3">
        <v>0.38750000000000001</v>
      </c>
      <c r="E78" s="1">
        <v>9.8561237999999995E-2</v>
      </c>
      <c r="F78">
        <v>1</v>
      </c>
      <c r="G78">
        <v>0</v>
      </c>
      <c r="H78">
        <v>0</v>
      </c>
      <c r="I78">
        <v>0</v>
      </c>
      <c r="J78" s="2">
        <f t="shared" si="1"/>
        <v>38.75</v>
      </c>
    </row>
    <row r="79" spans="1:10" x14ac:dyDescent="0.2">
      <c r="A79">
        <v>869</v>
      </c>
      <c r="B79">
        <v>0</v>
      </c>
      <c r="C79">
        <v>1</v>
      </c>
      <c r="D79" s="3">
        <v>0.35</v>
      </c>
      <c r="E79" s="1">
        <v>1.8542764999999999E-2</v>
      </c>
      <c r="F79">
        <v>0</v>
      </c>
      <c r="G79">
        <v>0</v>
      </c>
      <c r="H79">
        <v>1</v>
      </c>
      <c r="I79">
        <v>0</v>
      </c>
      <c r="J79" s="2">
        <f t="shared" si="1"/>
        <v>35</v>
      </c>
    </row>
    <row r="80" spans="1:10" x14ac:dyDescent="0.2">
      <c r="A80">
        <v>870</v>
      </c>
      <c r="B80">
        <v>1</v>
      </c>
      <c r="C80">
        <v>1</v>
      </c>
      <c r="D80" s="3">
        <v>0.05</v>
      </c>
      <c r="E80" s="1">
        <v>2.1730754000000001E-2</v>
      </c>
      <c r="F80">
        <v>0</v>
      </c>
      <c r="G80">
        <v>0</v>
      </c>
      <c r="H80">
        <v>1</v>
      </c>
      <c r="I80">
        <v>2</v>
      </c>
      <c r="J80" s="2">
        <f t="shared" si="1"/>
        <v>5</v>
      </c>
    </row>
    <row r="81" spans="1:10" x14ac:dyDescent="0.2">
      <c r="A81">
        <v>871</v>
      </c>
      <c r="B81">
        <v>0</v>
      </c>
      <c r="C81">
        <v>1</v>
      </c>
      <c r="D81" s="3">
        <v>0.32500000000000001</v>
      </c>
      <c r="E81" s="1">
        <v>1.5411575E-2</v>
      </c>
      <c r="F81">
        <v>0</v>
      </c>
      <c r="G81">
        <v>0</v>
      </c>
      <c r="H81">
        <v>1</v>
      </c>
      <c r="I81">
        <v>0</v>
      </c>
      <c r="J81" s="2">
        <f t="shared" si="1"/>
        <v>32.5</v>
      </c>
    </row>
    <row r="82" spans="1:10" x14ac:dyDescent="0.2">
      <c r="A82">
        <v>872</v>
      </c>
      <c r="B82">
        <v>1</v>
      </c>
      <c r="C82">
        <v>0</v>
      </c>
      <c r="D82" s="3">
        <v>0.58750000000000002</v>
      </c>
      <c r="E82" s="1">
        <v>0.10257896699999999</v>
      </c>
      <c r="F82">
        <v>1</v>
      </c>
      <c r="G82">
        <v>0</v>
      </c>
      <c r="H82">
        <v>0</v>
      </c>
      <c r="I82">
        <v>2</v>
      </c>
      <c r="J82" s="2">
        <f t="shared" si="1"/>
        <v>58.75</v>
      </c>
    </row>
    <row r="83" spans="1:10" x14ac:dyDescent="0.2">
      <c r="A83">
        <v>873</v>
      </c>
      <c r="B83">
        <v>0</v>
      </c>
      <c r="C83">
        <v>1</v>
      </c>
      <c r="D83" s="3">
        <v>0.41249999999999998</v>
      </c>
      <c r="E83" s="1">
        <v>9.75935E-3</v>
      </c>
      <c r="F83">
        <v>1</v>
      </c>
      <c r="G83">
        <v>0</v>
      </c>
      <c r="H83">
        <v>0</v>
      </c>
      <c r="I83">
        <v>0</v>
      </c>
      <c r="J83" s="2">
        <f t="shared" si="1"/>
        <v>41.25</v>
      </c>
    </row>
    <row r="84" spans="1:10" x14ac:dyDescent="0.2">
      <c r="A84">
        <v>874</v>
      </c>
      <c r="B84">
        <v>0</v>
      </c>
      <c r="C84">
        <v>1</v>
      </c>
      <c r="D84" s="3">
        <v>0.58750000000000002</v>
      </c>
      <c r="E84" s="1">
        <v>1.7566829999999999E-2</v>
      </c>
      <c r="F84">
        <v>0</v>
      </c>
      <c r="G84">
        <v>0</v>
      </c>
      <c r="H84">
        <v>1</v>
      </c>
      <c r="I84">
        <v>0</v>
      </c>
      <c r="J84" s="2">
        <f t="shared" si="1"/>
        <v>58.75</v>
      </c>
    </row>
    <row r="85" spans="1:10" x14ac:dyDescent="0.2">
      <c r="A85">
        <v>875</v>
      </c>
      <c r="B85">
        <v>1</v>
      </c>
      <c r="C85">
        <v>0</v>
      </c>
      <c r="D85" s="3">
        <v>0.35</v>
      </c>
      <c r="E85" s="1">
        <v>4.6844879999999998E-2</v>
      </c>
      <c r="F85">
        <v>0</v>
      </c>
      <c r="G85">
        <v>1</v>
      </c>
      <c r="H85">
        <v>0</v>
      </c>
      <c r="I85">
        <v>1</v>
      </c>
      <c r="J85" s="2">
        <f t="shared" si="1"/>
        <v>35</v>
      </c>
    </row>
    <row r="86" spans="1:10" x14ac:dyDescent="0.2">
      <c r="A86">
        <v>876</v>
      </c>
      <c r="B86">
        <v>1</v>
      </c>
      <c r="C86">
        <v>0</v>
      </c>
      <c r="D86" s="3">
        <v>0.1875</v>
      </c>
      <c r="E86" s="1">
        <v>1.4102261E-2</v>
      </c>
      <c r="F86">
        <v>0</v>
      </c>
      <c r="G86">
        <v>0</v>
      </c>
      <c r="H86">
        <v>1</v>
      </c>
      <c r="I86">
        <v>0</v>
      </c>
      <c r="J86" s="2">
        <f t="shared" si="1"/>
        <v>18.75</v>
      </c>
    </row>
    <row r="87" spans="1:10" x14ac:dyDescent="0.2">
      <c r="A87">
        <v>877</v>
      </c>
      <c r="B87">
        <v>0</v>
      </c>
      <c r="C87">
        <v>1</v>
      </c>
      <c r="D87" s="3">
        <v>0.25</v>
      </c>
      <c r="E87" s="1">
        <v>1.9217722E-2</v>
      </c>
      <c r="F87">
        <v>0</v>
      </c>
      <c r="G87">
        <v>0</v>
      </c>
      <c r="H87">
        <v>1</v>
      </c>
      <c r="I87">
        <v>0</v>
      </c>
      <c r="J87" s="2">
        <f t="shared" si="1"/>
        <v>25</v>
      </c>
    </row>
    <row r="88" spans="1:10" x14ac:dyDescent="0.2">
      <c r="A88">
        <v>878</v>
      </c>
      <c r="B88">
        <v>0</v>
      </c>
      <c r="C88">
        <v>1</v>
      </c>
      <c r="D88" s="3">
        <v>0.23749999999999999</v>
      </c>
      <c r="E88" s="1">
        <v>1.5411575E-2</v>
      </c>
      <c r="F88">
        <v>0</v>
      </c>
      <c r="G88">
        <v>0</v>
      </c>
      <c r="H88">
        <v>1</v>
      </c>
      <c r="I88">
        <v>0</v>
      </c>
      <c r="J88" s="2">
        <f t="shared" si="1"/>
        <v>23.75</v>
      </c>
    </row>
    <row r="89" spans="1:10" x14ac:dyDescent="0.2">
      <c r="A89">
        <v>879</v>
      </c>
      <c r="B89">
        <v>0</v>
      </c>
      <c r="C89">
        <v>1</v>
      </c>
      <c r="D89" s="3">
        <v>0.35</v>
      </c>
      <c r="E89" s="1">
        <v>1.5411575E-2</v>
      </c>
      <c r="F89">
        <v>0</v>
      </c>
      <c r="G89">
        <v>0</v>
      </c>
      <c r="H89">
        <v>1</v>
      </c>
      <c r="I89">
        <v>0</v>
      </c>
      <c r="J89" s="2">
        <f t="shared" si="1"/>
        <v>35</v>
      </c>
    </row>
    <row r="90" spans="1:10" x14ac:dyDescent="0.2">
      <c r="A90">
        <v>880</v>
      </c>
      <c r="B90">
        <v>1</v>
      </c>
      <c r="C90">
        <v>0</v>
      </c>
      <c r="D90" s="3">
        <v>0.7</v>
      </c>
      <c r="E90" s="1">
        <v>0.162314192</v>
      </c>
      <c r="F90">
        <v>1</v>
      </c>
      <c r="G90">
        <v>0</v>
      </c>
      <c r="H90">
        <v>0</v>
      </c>
      <c r="I90">
        <v>1</v>
      </c>
      <c r="J90" s="2">
        <f t="shared" si="1"/>
        <v>70</v>
      </c>
    </row>
    <row r="91" spans="1:10" x14ac:dyDescent="0.2">
      <c r="A91">
        <v>881</v>
      </c>
      <c r="B91">
        <v>1</v>
      </c>
      <c r="C91">
        <v>0</v>
      </c>
      <c r="D91" s="3">
        <v>0.3125</v>
      </c>
      <c r="E91" s="1">
        <v>5.0748620000000001E-2</v>
      </c>
      <c r="F91">
        <v>0</v>
      </c>
      <c r="G91">
        <v>1</v>
      </c>
      <c r="H91">
        <v>0</v>
      </c>
      <c r="I91">
        <v>1</v>
      </c>
      <c r="J91" s="2">
        <f t="shared" si="1"/>
        <v>31.25</v>
      </c>
    </row>
    <row r="92" spans="1:10" x14ac:dyDescent="0.2">
      <c r="A92">
        <v>882</v>
      </c>
      <c r="B92">
        <v>0</v>
      </c>
      <c r="C92">
        <v>1</v>
      </c>
      <c r="D92" s="3">
        <v>0.41249999999999998</v>
      </c>
      <c r="E92" s="1">
        <v>1.5411575E-2</v>
      </c>
      <c r="F92">
        <v>0</v>
      </c>
      <c r="G92">
        <v>0</v>
      </c>
      <c r="H92">
        <v>1</v>
      </c>
      <c r="I92">
        <v>0</v>
      </c>
      <c r="J92" s="2">
        <f t="shared" si="1"/>
        <v>41.25</v>
      </c>
    </row>
    <row r="93" spans="1:10" x14ac:dyDescent="0.2">
      <c r="A93">
        <v>883</v>
      </c>
      <c r="B93">
        <v>0</v>
      </c>
      <c r="C93">
        <v>0</v>
      </c>
      <c r="D93" s="3">
        <v>0.27500000000000002</v>
      </c>
      <c r="E93" s="1">
        <v>2.0527231E-2</v>
      </c>
      <c r="F93">
        <v>0</v>
      </c>
      <c r="G93">
        <v>0</v>
      </c>
      <c r="H93">
        <v>1</v>
      </c>
      <c r="I93">
        <v>0</v>
      </c>
      <c r="J93" s="2">
        <f t="shared" si="1"/>
        <v>27.500000000000004</v>
      </c>
    </row>
    <row r="94" spans="1:10" x14ac:dyDescent="0.2">
      <c r="A94">
        <v>884</v>
      </c>
      <c r="B94">
        <v>0</v>
      </c>
      <c r="C94">
        <v>1</v>
      </c>
      <c r="D94" s="3">
        <v>0.35</v>
      </c>
      <c r="E94" s="1">
        <v>2.0494635000000001E-2</v>
      </c>
      <c r="F94">
        <v>0</v>
      </c>
      <c r="G94">
        <v>1</v>
      </c>
      <c r="H94">
        <v>0</v>
      </c>
      <c r="I94">
        <v>0</v>
      </c>
      <c r="J94" s="2">
        <f t="shared" si="1"/>
        <v>35</v>
      </c>
    </row>
    <row r="95" spans="1:10" x14ac:dyDescent="0.2">
      <c r="A95">
        <v>885</v>
      </c>
      <c r="B95">
        <v>0</v>
      </c>
      <c r="C95">
        <v>1</v>
      </c>
      <c r="D95" s="3">
        <v>0.3125</v>
      </c>
      <c r="E95" s="1">
        <v>1.3760684E-2</v>
      </c>
      <c r="F95">
        <v>0</v>
      </c>
      <c r="G95">
        <v>0</v>
      </c>
      <c r="H95">
        <v>1</v>
      </c>
      <c r="I95">
        <v>0</v>
      </c>
      <c r="J95" s="2">
        <f t="shared" si="1"/>
        <v>31.25</v>
      </c>
    </row>
    <row r="96" spans="1:10" x14ac:dyDescent="0.2">
      <c r="A96">
        <v>886</v>
      </c>
      <c r="B96">
        <v>0</v>
      </c>
      <c r="C96">
        <v>0</v>
      </c>
      <c r="D96" s="3">
        <v>0.48749999999999999</v>
      </c>
      <c r="E96" s="1">
        <v>5.6848214000000001E-2</v>
      </c>
      <c r="F96">
        <v>0</v>
      </c>
      <c r="G96">
        <v>0</v>
      </c>
      <c r="H96">
        <v>1</v>
      </c>
      <c r="I96">
        <v>5</v>
      </c>
      <c r="J96" s="2">
        <f t="shared" si="1"/>
        <v>48.75</v>
      </c>
    </row>
    <row r="97" spans="1:10" x14ac:dyDescent="0.2">
      <c r="A97">
        <v>887</v>
      </c>
      <c r="B97">
        <v>0</v>
      </c>
      <c r="C97">
        <v>1</v>
      </c>
      <c r="D97" s="3">
        <v>0.33750000000000002</v>
      </c>
      <c r="E97" s="1">
        <v>2.5374310000000001E-2</v>
      </c>
      <c r="F97">
        <v>0</v>
      </c>
      <c r="G97">
        <v>1</v>
      </c>
      <c r="H97">
        <v>0</v>
      </c>
      <c r="I97">
        <v>0</v>
      </c>
      <c r="J97" s="2">
        <f t="shared" si="1"/>
        <v>33.75</v>
      </c>
    </row>
    <row r="98" spans="1:10" x14ac:dyDescent="0.2">
      <c r="A98">
        <v>888</v>
      </c>
      <c r="B98">
        <v>1</v>
      </c>
      <c r="C98">
        <v>0</v>
      </c>
      <c r="D98" s="3">
        <v>0.23749999999999999</v>
      </c>
      <c r="E98" s="1">
        <v>5.85561E-2</v>
      </c>
      <c r="F98">
        <v>1</v>
      </c>
      <c r="G98">
        <v>0</v>
      </c>
      <c r="H98">
        <v>0</v>
      </c>
      <c r="I98">
        <v>0</v>
      </c>
      <c r="J98" s="2">
        <f t="shared" si="1"/>
        <v>23.75</v>
      </c>
    </row>
    <row r="99" spans="1:10" x14ac:dyDescent="0.2">
      <c r="A99">
        <v>889</v>
      </c>
      <c r="B99">
        <v>0</v>
      </c>
      <c r="C99">
        <v>0</v>
      </c>
      <c r="D99" s="3">
        <v>0.35</v>
      </c>
      <c r="E99" s="1">
        <v>4.5771352000000001E-2</v>
      </c>
      <c r="F99">
        <v>0</v>
      </c>
      <c r="G99">
        <v>0</v>
      </c>
      <c r="H99">
        <v>1</v>
      </c>
      <c r="I99">
        <v>3</v>
      </c>
      <c r="J99" s="2">
        <f t="shared" si="1"/>
        <v>35</v>
      </c>
    </row>
    <row r="100" spans="1:10" x14ac:dyDescent="0.2">
      <c r="A100">
        <v>890</v>
      </c>
      <c r="B100">
        <v>1</v>
      </c>
      <c r="C100">
        <v>1</v>
      </c>
      <c r="D100" s="3">
        <v>0.32500000000000001</v>
      </c>
      <c r="E100" s="1">
        <v>5.85561E-2</v>
      </c>
      <c r="F100">
        <v>1</v>
      </c>
      <c r="G100">
        <v>0</v>
      </c>
      <c r="H100">
        <v>0</v>
      </c>
      <c r="I100">
        <v>0</v>
      </c>
      <c r="J100" s="2">
        <f t="shared" si="1"/>
        <v>32.5</v>
      </c>
    </row>
    <row r="101" spans="1:10" x14ac:dyDescent="0.2">
      <c r="A101">
        <v>891</v>
      </c>
      <c r="B101">
        <v>0</v>
      </c>
      <c r="C101">
        <v>1</v>
      </c>
      <c r="D101" s="3">
        <v>0.4</v>
      </c>
      <c r="E101" s="1">
        <v>1.5126993E-2</v>
      </c>
      <c r="F101">
        <v>0</v>
      </c>
      <c r="G101">
        <v>0</v>
      </c>
      <c r="H101">
        <v>1</v>
      </c>
      <c r="I101">
        <v>0</v>
      </c>
      <c r="J101" s="2">
        <f t="shared" si="1"/>
        <v>40</v>
      </c>
    </row>
  </sheetData>
  <conditionalFormatting sqref="B2:B101">
    <cfRule type="cellIs" dxfId="6" priority="4" operator="greaterThan">
      <formula>0</formula>
    </cfRule>
    <cfRule type="cellIs" dxfId="5" priority="3" operator="lessThan">
      <formula>1</formula>
    </cfRule>
  </conditionalFormatting>
  <conditionalFormatting sqref="C2:C101">
    <cfRule type="cellIs" dxfId="4" priority="2" operator="greaterThan">
      <formula>0</formula>
    </cfRule>
    <cfRule type="cellIs" dxfId="3" priority="1" operator="lessThan">
      <formula>1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Sheet7</vt:lpstr>
      <vt:lpstr>titanic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2023-03-08T22:19:31Z</dcterms:created>
  <dcterms:modified xsi:type="dcterms:W3CDTF">2023-03-08T22:19:32Z</dcterms:modified>
</cp:coreProperties>
</file>